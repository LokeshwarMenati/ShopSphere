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 Analysis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Regional Analysis" sheetId="6" state="visible" r:id="rId6"/>
    <sheet xmlns:r="http://schemas.openxmlformats.org/officeDocument/2006/relationships" name="Pivot Analysis" sheetId="7" state="visible" r:id="rId7"/>
    <sheet xmlns:r="http://schemas.openxmlformats.org/officeDocument/2006/relationships"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EDF2F8"/>
        <bgColor rgb="00EDF2F8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7" fillId="0" borderId="1" pivotButton="0" quotePrefix="0" xfId="0"/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3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0" fontId="8" fillId="0" borderId="2" pivotButton="0" quotePrefix="0" xfId="0"/>
    <xf numFmtId="0" fontId="8" fillId="0" borderId="2" applyAlignment="1" pivotButton="0" quotePrefix="0" xfId="0">
      <alignment horizontal="center"/>
    </xf>
    <xf numFmtId="0" fontId="6" fillId="6" borderId="0" applyAlignment="1" pivotButton="0" quotePrefix="0" xfId="0">
      <alignment horizontal="left"/>
    </xf>
    <xf numFmtId="0" fontId="6" fillId="6" borderId="0" applyAlignment="1" pivotButton="0" quotePrefix="0" xfId="0">
      <alignment horizontal="right"/>
    </xf>
    <xf numFmtId="0" fontId="8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0" fontId="8" fillId="5" borderId="1" pivotButton="0" quotePrefix="0" xfId="0"/>
    <xf numFmtId="3" fontId="8" fillId="5" borderId="1" pivotButton="0" quotePrefix="0" xfId="0"/>
    <xf numFmtId="10" fontId="8" fillId="5" borderId="1" pivotButton="0" quotePrefix="0" xfId="0"/>
    <xf numFmtId="0" fontId="6" fillId="3" borderId="0" pivotButton="0" quotePrefix="0" xfId="0"/>
    <xf numFmtId="164" fontId="8" fillId="0" borderId="1" pivotButton="0" quotePrefix="0" xfId="0"/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 vs Gross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'KPI Analysis'!G4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Analysis'!$B$5:$B$38</f>
            </numRef>
          </cat>
          <val>
            <numRef>
              <f>'KPI Analysis'!$G$5:$G$38</f>
            </numRef>
          </val>
        </ser>
        <ser>
          <idx val="1"/>
          <order val="1"/>
          <tx>
            <strRef>
              <f>'KPI Analysis'!H4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Analysis'!$B$5:$B$38</f>
            </numRef>
          </cat>
          <val>
            <numRef>
              <f>'KPI Analysis'!$H$5:$H$38</f>
            </numRef>
          </val>
        </ser>
        <ser>
          <idx val="2"/>
          <order val="2"/>
          <tx>
            <strRef>
              <f>'KPI Analysis'!I4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Analysis'!$B$5:$B$38</f>
            </numRef>
          </cat>
          <val>
            <numRef>
              <f>'KPI Analysis'!$I$5:$I$38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8"/>
  <sheetViews>
    <sheetView showGridLines="1" workbookViewId="0">
      <selection activeCell="A1" sqref="A1"/>
    </sheetView>
  </sheetViews>
  <sheetFormatPr baseColWidth="8" defaultRowHeight="15"/>
  <cols>
    <col width="51" customWidth="1" min="2" max="2"/>
    <col width="29" customWidth="1" min="3" max="3"/>
    <col width="17" customWidth="1" min="4" max="4"/>
    <col width="120" customWidth="1" min="5" max="5"/>
  </cols>
  <sheetData>
    <row r="1"/>
    <row r="2">
      <c r="B2" s="1" t="inlineStr">
        <is>
          <t>ShopSphere Enterprise Executive Summary</t>
        </is>
      </c>
    </row>
    <row r="3">
      <c r="B3" s="2" t="inlineStr">
        <is>
          <t>Portfolio Analytics &amp; Commercial Performance Dashboard (2023 - 2025)</t>
        </is>
      </c>
    </row>
    <row r="4"/>
    <row r="5">
      <c r="B5" s="3" t="inlineStr">
        <is>
          <t>TOTAL NET REVENUE</t>
        </is>
      </c>
      <c r="E5" s="3" t="inlineStr">
        <is>
          <t>GROSS PROFIT</t>
        </is>
      </c>
      <c r="H5" s="3" t="inlineStr">
        <is>
          <t>PROFIT MARGIN</t>
        </is>
      </c>
      <c r="K5" s="3" t="inlineStr">
        <is>
          <t>TOTAL ORDERS</t>
        </is>
      </c>
    </row>
    <row r="6">
      <c r="B6" s="4" t="inlineStr">
        <is>
          <t>$24,435,346</t>
        </is>
      </c>
      <c r="E6" s="4" t="inlineStr">
        <is>
          <t>$7,973,291</t>
        </is>
      </c>
      <c r="H6" s="4" t="inlineStr">
        <is>
          <t>32.63%</t>
        </is>
      </c>
      <c r="K6" s="4" t="inlineStr">
        <is>
          <t>102,420</t>
        </is>
      </c>
    </row>
    <row r="7"/>
    <row r="8">
      <c r="B8" s="3" t="inlineStr">
        <is>
          <t>ACTIVE CUSTOMERS</t>
        </is>
      </c>
      <c r="E8" s="3" t="inlineStr">
        <is>
          <t>REPEAT RATE</t>
        </is>
      </c>
      <c r="H8" s="3" t="inlineStr">
        <is>
          <t>RETURN RATE</t>
        </is>
      </c>
      <c r="K8" s="3" t="inlineStr">
        <is>
          <t>AVG DELIVERY DELAY</t>
        </is>
      </c>
    </row>
    <row r="9">
      <c r="B9" s="4" t="inlineStr">
        <is>
          <t>27,200</t>
        </is>
      </c>
      <c r="E9" s="4" t="inlineStr">
        <is>
          <t>55.60%</t>
        </is>
      </c>
      <c r="H9" s="4" t="inlineStr">
        <is>
          <t>8.39%</t>
        </is>
      </c>
      <c r="K9" s="4" t="inlineStr">
        <is>
          <t>3.49 Days</t>
        </is>
      </c>
    </row>
    <row r="10"/>
    <row r="11"/>
    <row r="12">
      <c r="B12" s="5" t="inlineStr">
        <is>
          <t>Strategic Executive Observations &amp; Risk Factors</t>
        </is>
      </c>
    </row>
    <row r="13">
      <c r="B13" s="6" t="inlineStr">
        <is>
          <t>Strategic Dimension</t>
        </is>
      </c>
      <c r="C13" s="6" t="inlineStr">
        <is>
          <t>Current Metric / Baseline</t>
        </is>
      </c>
      <c r="D13" s="7" t="inlineStr">
        <is>
          <t>Status</t>
        </is>
      </c>
      <c r="E13" s="6" t="inlineStr">
        <is>
          <t>Executive Finding &amp; Recommended Action</t>
        </is>
      </c>
    </row>
    <row r="14">
      <c r="B14" s="8" t="inlineStr">
        <is>
          <t>Revenue &amp; Growth</t>
        </is>
      </c>
      <c r="C14" s="8" t="inlineStr">
        <is>
          <t>$24.4M (36 Months)</t>
        </is>
      </c>
      <c r="D14" s="9" t="inlineStr">
        <is>
          <t>Positive</t>
        </is>
      </c>
      <c r="E14" s="8" t="inlineStr">
        <is>
          <t>Consistent growth observed with notable Q4 seasonal spikes (+50% over baseline).</t>
        </is>
      </c>
    </row>
    <row r="15">
      <c r="B15" s="8" t="inlineStr">
        <is>
          <t>Product Margins</t>
        </is>
      </c>
      <c r="C15" s="8" t="inlineStr">
        <is>
          <t>32.6% Enterprise Margin</t>
        </is>
      </c>
      <c r="D15" s="10" t="inlineStr">
        <is>
          <t>Monitor</t>
        </is>
      </c>
      <c r="E15" s="8" t="inlineStr">
        <is>
          <t>Electronics drives 45% of sales but only 28% of profit due to aggressive discounting on flagship tech.</t>
        </is>
      </c>
    </row>
    <row r="16">
      <c r="B16" s="8" t="inlineStr">
        <is>
          <t>Customer Retention</t>
        </is>
      </c>
      <c r="C16" s="8" t="inlineStr">
        <is>
          <t>55.6% Repeat Buyer Rate</t>
        </is>
      </c>
      <c r="D16" s="9" t="inlineStr">
        <is>
          <t>Healthy</t>
        </is>
      </c>
      <c r="E16" s="8" t="inlineStr">
        <is>
          <t>Strong core repeat customer base; Corporate segment generates highest AOV ($385 vs $210 Consumer).</t>
        </is>
      </c>
    </row>
    <row r="17">
      <c r="B17" s="8" t="inlineStr">
        <is>
          <t>Supply Chain Delay</t>
        </is>
      </c>
      <c r="C17" s="8" t="inlineStr">
        <is>
          <t>11.4% Late Deliveries</t>
        </is>
      </c>
      <c r="D17" s="11" t="inlineStr">
        <is>
          <t>Critical Risk</t>
        </is>
      </c>
      <c r="E17" s="8" t="inlineStr">
        <is>
          <t>Orders delivered late trigger a 2.8x higher return rate (19.8% vs 7.1% on-time). Immediate 3PL remediation required.</t>
        </is>
      </c>
    </row>
    <row r="18">
      <c r="B18" s="8" t="inlineStr">
        <is>
          <t>Reverse Logistics</t>
        </is>
      </c>
      <c r="C18" s="8" t="inlineStr">
        <is>
          <t>8.39% Return Rate ($2.1M)</t>
        </is>
      </c>
      <c r="D18" s="10" t="inlineStr">
        <is>
          <t>High Cost</t>
        </is>
      </c>
      <c r="E18" s="8" t="inlineStr">
        <is>
          <t>Apparel &amp; Fashion exhibits highest return rate (14.2%) primarily driven by size/fit mismatches.</t>
        </is>
      </c>
    </row>
  </sheetData>
  <mergeCells count="16">
    <mergeCell ref="E9:F9"/>
    <mergeCell ref="B6:C6"/>
    <mergeCell ref="E6:F6"/>
    <mergeCell ref="H6:I6"/>
    <mergeCell ref="K8:L8"/>
    <mergeCell ref="B5:C5"/>
    <mergeCell ref="H9:I9"/>
    <mergeCell ref="K9:L9"/>
    <mergeCell ref="E5:F5"/>
    <mergeCell ref="K5:L5"/>
    <mergeCell ref="H5:I5"/>
    <mergeCell ref="B9:C9"/>
    <mergeCell ref="H8:I8"/>
    <mergeCell ref="K6:L6"/>
    <mergeCell ref="B8:C8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39"/>
  <sheetViews>
    <sheetView showGridLines="1" workbookViewId="0">
      <selection activeCell="A1" sqref="A1"/>
    </sheetView>
  </sheetViews>
  <sheetFormatPr baseColWidth="8" defaultRowHeight="15"/>
  <cols>
    <col width="19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21" customWidth="1" min="8" max="8"/>
    <col width="16" customWidth="1" min="9" max="9"/>
    <col width="24" customWidth="1" min="10" max="10"/>
    <col width="24" customWidth="1" min="11" max="11"/>
    <col width="30" customWidth="1" min="12" max="12"/>
  </cols>
  <sheetData>
    <row r="1"/>
    <row r="2">
      <c r="B2" s="1" t="inlineStr">
        <is>
          <t>ShopSphere Monthly KPI &amp; Financial Performance Model</t>
        </is>
      </c>
    </row>
    <row r="3"/>
    <row r="4">
      <c r="B4" s="7" t="inlineStr">
        <is>
          <t>Month</t>
        </is>
      </c>
      <c r="C4" s="12" t="inlineStr">
        <is>
          <t>Order Count</t>
        </is>
      </c>
      <c r="D4" s="12" t="inlineStr">
        <is>
          <t>Units Sold</t>
        </is>
      </c>
      <c r="E4" s="12" t="inlineStr">
        <is>
          <t>Gross Revenue ($)</t>
        </is>
      </c>
      <c r="F4" s="12" t="inlineStr">
        <is>
          <t>Discount ($)</t>
        </is>
      </c>
      <c r="G4" s="12" t="inlineStr">
        <is>
          <t>Net Revenue ($)</t>
        </is>
      </c>
      <c r="H4" s="12" t="inlineStr">
        <is>
          <t>Total COGS ($)</t>
        </is>
      </c>
      <c r="I4" s="12" t="inlineStr">
        <is>
          <t>Gross Profit ($)</t>
        </is>
      </c>
      <c r="J4" s="12" t="inlineStr">
        <is>
          <t>Profit Margin %</t>
        </is>
      </c>
      <c r="K4" s="12" t="inlineStr">
        <is>
          <t>AOV ($)</t>
        </is>
      </c>
      <c r="L4" s="12" t="inlineStr">
        <is>
          <t>MoM Growth %</t>
        </is>
      </c>
    </row>
    <row r="5">
      <c r="B5" s="13" t="inlineStr">
        <is>
          <t>2023-01</t>
        </is>
      </c>
      <c r="C5" s="14" t="n">
        <v>704</v>
      </c>
      <c r="D5" s="14" t="n">
        <v>1167</v>
      </c>
      <c r="E5" s="15" t="n">
        <v>193892.22</v>
      </c>
      <c r="F5" s="15" t="n">
        <v>16800.65</v>
      </c>
      <c r="G5" s="15" t="n">
        <v>177091.57</v>
      </c>
      <c r="H5" s="15" t="n">
        <v>120678.76</v>
      </c>
      <c r="I5" s="15">
        <f>G5-H5</f>
        <v/>
      </c>
      <c r="J5" s="16">
        <f>IFERROR(I5/G5, 0)</f>
        <v/>
      </c>
      <c r="K5" s="15">
        <f>IFERROR(G5/C5, 0)</f>
        <v/>
      </c>
      <c r="L5" s="13" t="inlineStr">
        <is>
          <t>-</t>
        </is>
      </c>
    </row>
    <row r="6">
      <c r="B6" s="13" t="inlineStr">
        <is>
          <t>2023-02</t>
        </is>
      </c>
      <c r="C6" s="14" t="n">
        <v>649</v>
      </c>
      <c r="D6" s="14" t="n">
        <v>1072</v>
      </c>
      <c r="E6" s="15" t="n">
        <v>155680.11</v>
      </c>
      <c r="F6" s="15" t="n">
        <v>12600.47</v>
      </c>
      <c r="G6" s="15" t="n">
        <v>143079.64</v>
      </c>
      <c r="H6" s="15" t="n">
        <v>94310.75999999999</v>
      </c>
      <c r="I6" s="15">
        <f>G6-H6</f>
        <v/>
      </c>
      <c r="J6" s="16">
        <f>IFERROR(I6/G6, 0)</f>
        <v/>
      </c>
      <c r="K6" s="15">
        <f>IFERROR(G6/C6, 0)</f>
        <v/>
      </c>
      <c r="L6" s="16">
        <f>IFERROR((G6-G5)/G5, 0)</f>
        <v/>
      </c>
    </row>
    <row r="7">
      <c r="B7" s="13" t="inlineStr">
        <is>
          <t>2023-03</t>
        </is>
      </c>
      <c r="C7" s="14" t="n">
        <v>915</v>
      </c>
      <c r="D7" s="14" t="n">
        <v>1492</v>
      </c>
      <c r="E7" s="15" t="n">
        <v>235114.27</v>
      </c>
      <c r="F7" s="15" t="n">
        <v>17067.82</v>
      </c>
      <c r="G7" s="15" t="n">
        <v>218046.45</v>
      </c>
      <c r="H7" s="15" t="n">
        <v>143880.24</v>
      </c>
      <c r="I7" s="15">
        <f>G7-H7</f>
        <v/>
      </c>
      <c r="J7" s="16">
        <f>IFERROR(I7/G7, 0)</f>
        <v/>
      </c>
      <c r="K7" s="15">
        <f>IFERROR(G7/C7, 0)</f>
        <v/>
      </c>
      <c r="L7" s="16">
        <f>IFERROR((G7-G6)/G6, 0)</f>
        <v/>
      </c>
    </row>
    <row r="8">
      <c r="B8" s="13" t="inlineStr">
        <is>
          <t>2023-04</t>
        </is>
      </c>
      <c r="C8" s="14" t="n">
        <v>1046</v>
      </c>
      <c r="D8" s="14" t="n">
        <v>1735</v>
      </c>
      <c r="E8" s="15" t="n">
        <v>257918.39</v>
      </c>
      <c r="F8" s="15" t="n">
        <v>19247.72</v>
      </c>
      <c r="G8" s="15" t="n">
        <v>238670.67</v>
      </c>
      <c r="H8" s="15" t="n">
        <v>157118.62</v>
      </c>
      <c r="I8" s="15">
        <f>G8-H8</f>
        <v/>
      </c>
      <c r="J8" s="16">
        <f>IFERROR(I8/G8, 0)</f>
        <v/>
      </c>
      <c r="K8" s="15">
        <f>IFERROR(G8/C8, 0)</f>
        <v/>
      </c>
      <c r="L8" s="16">
        <f>IFERROR((G8-G7)/G7, 0)</f>
        <v/>
      </c>
    </row>
    <row r="9">
      <c r="B9" s="13" t="inlineStr">
        <is>
          <t>2023-05</t>
        </is>
      </c>
      <c r="C9" s="14" t="n">
        <v>1316</v>
      </c>
      <c r="D9" s="14" t="n">
        <v>2125</v>
      </c>
      <c r="E9" s="15" t="n">
        <v>358434.17</v>
      </c>
      <c r="F9" s="15" t="n">
        <v>25663</v>
      </c>
      <c r="G9" s="15" t="n">
        <v>332771.17</v>
      </c>
      <c r="H9" s="15" t="n">
        <v>225423.88</v>
      </c>
      <c r="I9" s="15">
        <f>G9-H9</f>
        <v/>
      </c>
      <c r="J9" s="16">
        <f>IFERROR(I9/G9, 0)</f>
        <v/>
      </c>
      <c r="K9" s="15">
        <f>IFERROR(G9/C9, 0)</f>
        <v/>
      </c>
      <c r="L9" s="16">
        <f>IFERROR((G9-G8)/G8, 0)</f>
        <v/>
      </c>
    </row>
    <row r="10">
      <c r="B10" s="13" t="inlineStr">
        <is>
          <t>2023-06</t>
        </is>
      </c>
      <c r="C10" s="14" t="n">
        <v>1322</v>
      </c>
      <c r="D10" s="14" t="n">
        <v>2122</v>
      </c>
      <c r="E10" s="15" t="n">
        <v>332901</v>
      </c>
      <c r="F10" s="15" t="n">
        <v>26300.54</v>
      </c>
      <c r="G10" s="15" t="n">
        <v>306600.46</v>
      </c>
      <c r="H10" s="15" t="n">
        <v>208348.96</v>
      </c>
      <c r="I10" s="15">
        <f>G10-H10</f>
        <v/>
      </c>
      <c r="J10" s="16">
        <f>IFERROR(I10/G10, 0)</f>
        <v/>
      </c>
      <c r="K10" s="15">
        <f>IFERROR(G10/C10, 0)</f>
        <v/>
      </c>
      <c r="L10" s="16">
        <f>IFERROR((G10-G9)/G9, 0)</f>
        <v/>
      </c>
    </row>
    <row r="11">
      <c r="B11" s="13" t="inlineStr">
        <is>
          <t>2023-07</t>
        </is>
      </c>
      <c r="C11" s="14" t="n">
        <v>1518</v>
      </c>
      <c r="D11" s="14" t="n">
        <v>2416</v>
      </c>
      <c r="E11" s="15" t="n">
        <v>364899.11</v>
      </c>
      <c r="F11" s="15" t="n">
        <v>26978.16</v>
      </c>
      <c r="G11" s="15" t="n">
        <v>337920.95</v>
      </c>
      <c r="H11" s="15" t="n">
        <v>224738.68</v>
      </c>
      <c r="I11" s="15">
        <f>G11-H11</f>
        <v/>
      </c>
      <c r="J11" s="16">
        <f>IFERROR(I11/G11, 0)</f>
        <v/>
      </c>
      <c r="K11" s="15">
        <f>IFERROR(G11/C11, 0)</f>
        <v/>
      </c>
      <c r="L11" s="16">
        <f>IFERROR((G11-G10)/G10, 0)</f>
        <v/>
      </c>
    </row>
    <row r="12">
      <c r="B12" s="13" t="inlineStr">
        <is>
          <t>2023-08</t>
        </is>
      </c>
      <c r="C12" s="14" t="n">
        <v>1866</v>
      </c>
      <c r="D12" s="14" t="n">
        <v>3060</v>
      </c>
      <c r="E12" s="15" t="n">
        <v>527542.54</v>
      </c>
      <c r="F12" s="15" t="n">
        <v>40586.56</v>
      </c>
      <c r="G12" s="15" t="n">
        <v>486955.98</v>
      </c>
      <c r="H12" s="15" t="n">
        <v>335148.45</v>
      </c>
      <c r="I12" s="15">
        <f>G12-H12</f>
        <v/>
      </c>
      <c r="J12" s="16">
        <f>IFERROR(I12/G12, 0)</f>
        <v/>
      </c>
      <c r="K12" s="15">
        <f>IFERROR(G12/C12, 0)</f>
        <v/>
      </c>
      <c r="L12" s="16">
        <f>IFERROR((G12-G11)/G11, 0)</f>
        <v/>
      </c>
    </row>
    <row r="13">
      <c r="B13" s="13" t="inlineStr">
        <is>
          <t>2023-09</t>
        </is>
      </c>
      <c r="C13" s="14" t="n">
        <v>1761</v>
      </c>
      <c r="D13" s="14" t="n">
        <v>2893</v>
      </c>
      <c r="E13" s="15" t="n">
        <v>425049.67</v>
      </c>
      <c r="F13" s="15" t="n">
        <v>32805.95999999999</v>
      </c>
      <c r="G13" s="15" t="n">
        <v>392243.71</v>
      </c>
      <c r="H13" s="15" t="n">
        <v>258070.16</v>
      </c>
      <c r="I13" s="15">
        <f>G13-H13</f>
        <v/>
      </c>
      <c r="J13" s="16">
        <f>IFERROR(I13/G13, 0)</f>
        <v/>
      </c>
      <c r="K13" s="15">
        <f>IFERROR(G13/C13, 0)</f>
        <v/>
      </c>
      <c r="L13" s="16">
        <f>IFERROR((G13-G12)/G12, 0)</f>
        <v/>
      </c>
    </row>
    <row r="14">
      <c r="B14" s="13" t="inlineStr">
        <is>
          <t>2023-10</t>
        </is>
      </c>
      <c r="C14" s="14" t="n">
        <v>2030</v>
      </c>
      <c r="D14" s="14" t="n">
        <v>3366</v>
      </c>
      <c r="E14" s="15" t="n">
        <v>543490.4300000001</v>
      </c>
      <c r="F14" s="15" t="n">
        <v>41391.19</v>
      </c>
      <c r="G14" s="15" t="n">
        <v>502099.24</v>
      </c>
      <c r="H14" s="15" t="n">
        <v>339471.87</v>
      </c>
      <c r="I14" s="15">
        <f>G14-H14</f>
        <v/>
      </c>
      <c r="J14" s="16">
        <f>IFERROR(I14/G14, 0)</f>
        <v/>
      </c>
      <c r="K14" s="15">
        <f>IFERROR(G14/C14, 0)</f>
        <v/>
      </c>
      <c r="L14" s="16">
        <f>IFERROR((G14-G13)/G13, 0)</f>
        <v/>
      </c>
    </row>
    <row r="15">
      <c r="B15" s="13" t="inlineStr">
        <is>
          <t>2023-11</t>
        </is>
      </c>
      <c r="C15" s="14" t="n">
        <v>2617</v>
      </c>
      <c r="D15" s="14" t="n">
        <v>4267</v>
      </c>
      <c r="E15" s="15" t="n">
        <v>676342.12</v>
      </c>
      <c r="F15" s="15" t="n">
        <v>55495.17</v>
      </c>
      <c r="G15" s="15" t="n">
        <v>620846.95</v>
      </c>
      <c r="H15" s="15" t="n">
        <v>415964.71</v>
      </c>
      <c r="I15" s="15">
        <f>G15-H15</f>
        <v/>
      </c>
      <c r="J15" s="16">
        <f>IFERROR(I15/G15, 0)</f>
        <v/>
      </c>
      <c r="K15" s="15">
        <f>IFERROR(G15/C15, 0)</f>
        <v/>
      </c>
      <c r="L15" s="16">
        <f>IFERROR((G15-G14)/G14, 0)</f>
        <v/>
      </c>
    </row>
    <row r="16">
      <c r="B16" s="13" t="inlineStr">
        <is>
          <t>2023-12</t>
        </is>
      </c>
      <c r="C16" s="14" t="n">
        <v>3015</v>
      </c>
      <c r="D16" s="14" t="n">
        <v>4943</v>
      </c>
      <c r="E16" s="15" t="n">
        <v>784788.1</v>
      </c>
      <c r="F16" s="15" t="n">
        <v>53290.13</v>
      </c>
      <c r="G16" s="15" t="n">
        <v>731497.97</v>
      </c>
      <c r="H16" s="15" t="n">
        <v>485507.49</v>
      </c>
      <c r="I16" s="15">
        <f>G16-H16</f>
        <v/>
      </c>
      <c r="J16" s="16">
        <f>IFERROR(I16/G16, 0)</f>
        <v/>
      </c>
      <c r="K16" s="15">
        <f>IFERROR(G16/C16, 0)</f>
        <v/>
      </c>
      <c r="L16" s="16">
        <f>IFERROR((G16-G15)/G15, 0)</f>
        <v/>
      </c>
    </row>
    <row r="17">
      <c r="B17" s="13" t="inlineStr">
        <is>
          <t>2024-01</t>
        </is>
      </c>
      <c r="C17" s="14" t="n">
        <v>2326</v>
      </c>
      <c r="D17" s="14" t="n">
        <v>3799</v>
      </c>
      <c r="E17" s="15" t="n">
        <v>610691.8100000001</v>
      </c>
      <c r="F17" s="15" t="n">
        <v>50906.6</v>
      </c>
      <c r="G17" s="15" t="n">
        <v>559785.21</v>
      </c>
      <c r="H17" s="15" t="n">
        <v>381349.33</v>
      </c>
      <c r="I17" s="15">
        <f>G17-H17</f>
        <v/>
      </c>
      <c r="J17" s="16">
        <f>IFERROR(I17/G17, 0)</f>
        <v/>
      </c>
      <c r="K17" s="15">
        <f>IFERROR(G17/C17, 0)</f>
        <v/>
      </c>
      <c r="L17" s="16">
        <f>IFERROR((G17-G16)/G16, 0)</f>
        <v/>
      </c>
    </row>
    <row r="18">
      <c r="B18" s="13" t="inlineStr">
        <is>
          <t>2024-02</t>
        </is>
      </c>
      <c r="C18" s="14" t="n">
        <v>2264</v>
      </c>
      <c r="D18" s="14" t="n">
        <v>3674</v>
      </c>
      <c r="E18" s="15" t="n">
        <v>580007.6</v>
      </c>
      <c r="F18" s="15" t="n">
        <v>48329.63</v>
      </c>
      <c r="G18" s="15" t="n">
        <v>531677.97</v>
      </c>
      <c r="H18" s="15" t="n">
        <v>363847</v>
      </c>
      <c r="I18" s="15">
        <f>G18-H18</f>
        <v/>
      </c>
      <c r="J18" s="16">
        <f>IFERROR(I18/G18, 0)</f>
        <v/>
      </c>
      <c r="K18" s="15">
        <f>IFERROR(G18/C18, 0)</f>
        <v/>
      </c>
      <c r="L18" s="16">
        <f>IFERROR((G18-G17)/G17, 0)</f>
        <v/>
      </c>
    </row>
    <row r="19">
      <c r="B19" s="13" t="inlineStr">
        <is>
          <t>2024-03</t>
        </is>
      </c>
      <c r="C19" s="14" t="n">
        <v>2725</v>
      </c>
      <c r="D19" s="14" t="n">
        <v>4481</v>
      </c>
      <c r="E19" s="15" t="n">
        <v>686957.3199999999</v>
      </c>
      <c r="F19" s="15" t="n">
        <v>50871.38</v>
      </c>
      <c r="G19" s="15" t="n">
        <v>636085.9399999999</v>
      </c>
      <c r="H19" s="15" t="n">
        <v>417766.96</v>
      </c>
      <c r="I19" s="15">
        <f>G19-H19</f>
        <v/>
      </c>
      <c r="J19" s="16">
        <f>IFERROR(I19/G19, 0)</f>
        <v/>
      </c>
      <c r="K19" s="15">
        <f>IFERROR(G19/C19, 0)</f>
        <v/>
      </c>
      <c r="L19" s="16">
        <f>IFERROR((G19-G18)/G18, 0)</f>
        <v/>
      </c>
    </row>
    <row r="20">
      <c r="B20" s="13" t="inlineStr">
        <is>
          <t>2024-04</t>
        </is>
      </c>
      <c r="C20" s="14" t="n">
        <v>2627</v>
      </c>
      <c r="D20" s="14" t="n">
        <v>4260</v>
      </c>
      <c r="E20" s="15" t="n">
        <v>675777.27</v>
      </c>
      <c r="F20" s="15" t="n">
        <v>56344.23</v>
      </c>
      <c r="G20" s="15" t="n">
        <v>619433.04</v>
      </c>
      <c r="H20" s="15" t="n">
        <v>421437.22</v>
      </c>
      <c r="I20" s="15">
        <f>G20-H20</f>
        <v/>
      </c>
      <c r="J20" s="16">
        <f>IFERROR(I20/G20, 0)</f>
        <v/>
      </c>
      <c r="K20" s="15">
        <f>IFERROR(G20/C20, 0)</f>
        <v/>
      </c>
      <c r="L20" s="16">
        <f>IFERROR((G20-G19)/G19, 0)</f>
        <v/>
      </c>
    </row>
    <row r="21">
      <c r="B21" s="13" t="inlineStr">
        <is>
          <t>2024-05</t>
        </is>
      </c>
      <c r="C21" s="14" t="n">
        <v>2956</v>
      </c>
      <c r="D21" s="14" t="n">
        <v>4831</v>
      </c>
      <c r="E21" s="15" t="n">
        <v>799843.0600000001</v>
      </c>
      <c r="F21" s="15" t="n">
        <v>59778.84</v>
      </c>
      <c r="G21" s="15" t="n">
        <v>740064.22</v>
      </c>
      <c r="H21" s="15" t="n">
        <v>498829.25</v>
      </c>
      <c r="I21" s="15">
        <f>G21-H21</f>
        <v/>
      </c>
      <c r="J21" s="16">
        <f>IFERROR(I21/G21, 0)</f>
        <v/>
      </c>
      <c r="K21" s="15">
        <f>IFERROR(G21/C21, 0)</f>
        <v/>
      </c>
      <c r="L21" s="16">
        <f>IFERROR((G21-G20)/G20, 0)</f>
        <v/>
      </c>
    </row>
    <row r="22">
      <c r="B22" s="13" t="inlineStr">
        <is>
          <t>2024-06</t>
        </is>
      </c>
      <c r="C22" s="14" t="n">
        <v>3113</v>
      </c>
      <c r="D22" s="14" t="n">
        <v>5097</v>
      </c>
      <c r="E22" s="15" t="n">
        <v>787432.74</v>
      </c>
      <c r="F22" s="15" t="n">
        <v>58976.66</v>
      </c>
      <c r="G22" s="15" t="n">
        <v>728456.08</v>
      </c>
      <c r="H22" s="15" t="n">
        <v>486678.82</v>
      </c>
      <c r="I22" s="15">
        <f>G22-H22</f>
        <v/>
      </c>
      <c r="J22" s="16">
        <f>IFERROR(I22/G22, 0)</f>
        <v/>
      </c>
      <c r="K22" s="15">
        <f>IFERROR(G22/C22, 0)</f>
        <v/>
      </c>
      <c r="L22" s="16">
        <f>IFERROR((G22-G21)/G21, 0)</f>
        <v/>
      </c>
    </row>
    <row r="23">
      <c r="B23" s="13" t="inlineStr">
        <is>
          <t>2024-07</t>
        </is>
      </c>
      <c r="C23" s="14" t="n">
        <v>3412</v>
      </c>
      <c r="D23" s="14" t="n">
        <v>5481</v>
      </c>
      <c r="E23" s="15" t="n">
        <v>891485.28</v>
      </c>
      <c r="F23" s="15" t="n">
        <v>64549.78</v>
      </c>
      <c r="G23" s="15" t="n">
        <v>826935.5</v>
      </c>
      <c r="H23" s="15" t="n">
        <v>557371.8199999999</v>
      </c>
      <c r="I23" s="15">
        <f>G23-H23</f>
        <v/>
      </c>
      <c r="J23" s="16">
        <f>IFERROR(I23/G23, 0)</f>
        <v/>
      </c>
      <c r="K23" s="15">
        <f>IFERROR(G23/C23, 0)</f>
        <v/>
      </c>
      <c r="L23" s="16">
        <f>IFERROR((G23-G22)/G22, 0)</f>
        <v/>
      </c>
    </row>
    <row r="24">
      <c r="B24" s="13" t="inlineStr">
        <is>
          <t>2024-08</t>
        </is>
      </c>
      <c r="C24" s="14" t="n">
        <v>3834</v>
      </c>
      <c r="D24" s="14" t="n">
        <v>6268</v>
      </c>
      <c r="E24" s="15" t="n">
        <v>1003132.11</v>
      </c>
      <c r="F24" s="15" t="n">
        <v>80675.41</v>
      </c>
      <c r="G24" s="15" t="n">
        <v>922456.7</v>
      </c>
      <c r="H24" s="15" t="n">
        <v>623059.22</v>
      </c>
      <c r="I24" s="15">
        <f>G24-H24</f>
        <v/>
      </c>
      <c r="J24" s="16">
        <f>IFERROR(I24/G24, 0)</f>
        <v/>
      </c>
      <c r="K24" s="15">
        <f>IFERROR(G24/C24, 0)</f>
        <v/>
      </c>
      <c r="L24" s="16">
        <f>IFERROR((G24-G23)/G23, 0)</f>
        <v/>
      </c>
    </row>
    <row r="25">
      <c r="B25" s="13" t="inlineStr">
        <is>
          <t>2024-09</t>
        </is>
      </c>
      <c r="C25" s="14" t="n">
        <v>3522</v>
      </c>
      <c r="D25" s="14" t="n">
        <v>5741</v>
      </c>
      <c r="E25" s="15" t="n">
        <v>899369.53</v>
      </c>
      <c r="F25" s="15" t="n">
        <v>67681.89999999999</v>
      </c>
      <c r="G25" s="15" t="n">
        <v>831687.63</v>
      </c>
      <c r="H25" s="15" t="n">
        <v>558281.84</v>
      </c>
      <c r="I25" s="15">
        <f>G25-H25</f>
        <v/>
      </c>
      <c r="J25" s="16">
        <f>IFERROR(I25/G25, 0)</f>
        <v/>
      </c>
      <c r="K25" s="15">
        <f>IFERROR(G25/C25, 0)</f>
        <v/>
      </c>
      <c r="L25" s="16">
        <f>IFERROR((G25-G24)/G24, 0)</f>
        <v/>
      </c>
    </row>
    <row r="26">
      <c r="B26" s="13" t="inlineStr">
        <is>
          <t>2024-10</t>
        </is>
      </c>
      <c r="C26" s="14" t="n">
        <v>3843</v>
      </c>
      <c r="D26" s="14" t="n">
        <v>6339</v>
      </c>
      <c r="E26" s="15" t="n">
        <v>1019477.71</v>
      </c>
      <c r="F26" s="15" t="n">
        <v>84014.5</v>
      </c>
      <c r="G26" s="15" t="n">
        <v>935463.21</v>
      </c>
      <c r="H26" s="15" t="n">
        <v>634943.96</v>
      </c>
      <c r="I26" s="15">
        <f>G26-H26</f>
        <v/>
      </c>
      <c r="J26" s="16">
        <f>IFERROR(I26/G26, 0)</f>
        <v/>
      </c>
      <c r="K26" s="15">
        <f>IFERROR(G26/C26, 0)</f>
        <v/>
      </c>
      <c r="L26" s="16">
        <f>IFERROR((G26-G25)/G25, 0)</f>
        <v/>
      </c>
    </row>
    <row r="27">
      <c r="B27" s="13" t="inlineStr">
        <is>
          <t>2024-11</t>
        </is>
      </c>
      <c r="C27" s="14" t="n">
        <v>5457</v>
      </c>
      <c r="D27" s="14" t="n">
        <v>8688</v>
      </c>
      <c r="E27" s="15" t="n">
        <v>1354196.76</v>
      </c>
      <c r="F27" s="15" t="n">
        <v>102093.62</v>
      </c>
      <c r="G27" s="15" t="n">
        <v>1252103.14</v>
      </c>
      <c r="H27" s="15" t="n">
        <v>836643.51</v>
      </c>
      <c r="I27" s="15">
        <f>G27-H27</f>
        <v/>
      </c>
      <c r="J27" s="16">
        <f>IFERROR(I27/G27, 0)</f>
        <v/>
      </c>
      <c r="K27" s="15">
        <f>IFERROR(G27/C27, 0)</f>
        <v/>
      </c>
      <c r="L27" s="16">
        <f>IFERROR((G27-G26)/G26, 0)</f>
        <v/>
      </c>
    </row>
    <row r="28">
      <c r="B28" s="13" t="inlineStr">
        <is>
          <t>2024-12</t>
        </is>
      </c>
      <c r="C28" s="14" t="n">
        <v>6452</v>
      </c>
      <c r="D28" s="14" t="n">
        <v>10289</v>
      </c>
      <c r="E28" s="15" t="n">
        <v>1637741.12</v>
      </c>
      <c r="F28" s="15" t="n">
        <v>124760.02</v>
      </c>
      <c r="G28" s="15" t="n">
        <v>1512981.1</v>
      </c>
      <c r="H28" s="15" t="n">
        <v>1018734.33</v>
      </c>
      <c r="I28" s="15">
        <f>G28-H28</f>
        <v/>
      </c>
      <c r="J28" s="16">
        <f>IFERROR(I28/G28, 0)</f>
        <v/>
      </c>
      <c r="K28" s="15">
        <f>IFERROR(G28/C28, 0)</f>
        <v/>
      </c>
      <c r="L28" s="16">
        <f>IFERROR((G28-G27)/G27, 0)</f>
        <v/>
      </c>
    </row>
    <row r="29">
      <c r="B29" s="13" t="inlineStr">
        <is>
          <t>2025-01</t>
        </is>
      </c>
      <c r="C29" s="14" t="n">
        <v>4003</v>
      </c>
      <c r="D29" s="14" t="n">
        <v>6618</v>
      </c>
      <c r="E29" s="15" t="n">
        <v>1065464.16</v>
      </c>
      <c r="F29" s="15" t="n">
        <v>82560.78</v>
      </c>
      <c r="G29" s="15" t="n">
        <v>982903.38</v>
      </c>
      <c r="H29" s="15" t="n">
        <v>661241.26</v>
      </c>
      <c r="I29" s="15">
        <f>G29-H29</f>
        <v/>
      </c>
      <c r="J29" s="16">
        <f>IFERROR(I29/G29, 0)</f>
        <v/>
      </c>
      <c r="K29" s="15">
        <f>IFERROR(G29/C29, 0)</f>
        <v/>
      </c>
      <c r="L29" s="16">
        <f>IFERROR((G29-G28)/G28, 0)</f>
        <v/>
      </c>
    </row>
    <row r="30">
      <c r="B30" s="13" t="inlineStr">
        <is>
          <t>2025-02</t>
        </is>
      </c>
      <c r="C30" s="14" t="n">
        <v>3531</v>
      </c>
      <c r="D30" s="14" t="n">
        <v>5967</v>
      </c>
      <c r="E30" s="15" t="n">
        <v>914342.39</v>
      </c>
      <c r="F30" s="15" t="n">
        <v>75751.31</v>
      </c>
      <c r="G30" s="15" t="n">
        <v>838591.08</v>
      </c>
      <c r="H30" s="15" t="n">
        <v>561324.36</v>
      </c>
      <c r="I30" s="15">
        <f>G30-H30</f>
        <v/>
      </c>
      <c r="J30" s="16">
        <f>IFERROR(I30/G30, 0)</f>
        <v/>
      </c>
      <c r="K30" s="15">
        <f>IFERROR(G30/C30, 0)</f>
        <v/>
      </c>
      <c r="L30" s="16">
        <f>IFERROR((G30-G29)/G29, 0)</f>
        <v/>
      </c>
    </row>
    <row r="31">
      <c r="B31" s="13" t="inlineStr">
        <is>
          <t>2025-03</t>
        </is>
      </c>
      <c r="C31" s="14" t="n">
        <v>4684</v>
      </c>
      <c r="D31" s="14" t="n">
        <v>7663</v>
      </c>
      <c r="E31" s="15" t="n">
        <v>1214945.82</v>
      </c>
      <c r="F31" s="15" t="n">
        <v>94299.19</v>
      </c>
      <c r="G31" s="15" t="n">
        <v>1120646.63</v>
      </c>
      <c r="H31" s="15" t="n">
        <v>756851.0699999999</v>
      </c>
      <c r="I31" s="15">
        <f>G31-H31</f>
        <v/>
      </c>
      <c r="J31" s="16">
        <f>IFERROR(I31/G31, 0)</f>
        <v/>
      </c>
      <c r="K31" s="15">
        <f>IFERROR(G31/C31, 0)</f>
        <v/>
      </c>
      <c r="L31" s="16">
        <f>IFERROR((G31-G30)/G30, 0)</f>
        <v/>
      </c>
    </row>
    <row r="32">
      <c r="B32" s="13" t="inlineStr">
        <is>
          <t>2025-04</t>
        </is>
      </c>
      <c r="C32" s="14" t="n">
        <v>4687</v>
      </c>
      <c r="D32" s="14" t="n">
        <v>7698</v>
      </c>
      <c r="E32" s="15" t="n">
        <v>1174186.48</v>
      </c>
      <c r="F32" s="15" t="n">
        <v>89927.09</v>
      </c>
      <c r="G32" s="15" t="n">
        <v>1084259.39</v>
      </c>
      <c r="H32" s="15" t="n">
        <v>720342.5599999999</v>
      </c>
      <c r="I32" s="15">
        <f>G32-H32</f>
        <v/>
      </c>
      <c r="J32" s="16">
        <f>IFERROR(I32/G32, 0)</f>
        <v/>
      </c>
      <c r="K32" s="15">
        <f>IFERROR(G32/C32, 0)</f>
        <v/>
      </c>
      <c r="L32" s="16">
        <f>IFERROR((G32-G31)/G31, 0)</f>
        <v/>
      </c>
    </row>
    <row r="33">
      <c r="B33" s="13" t="inlineStr">
        <is>
          <t>2025-05</t>
        </is>
      </c>
      <c r="C33" s="14" t="n">
        <v>5130</v>
      </c>
      <c r="D33" s="14" t="n">
        <v>8379</v>
      </c>
      <c r="E33" s="15" t="n">
        <v>1332395.7</v>
      </c>
      <c r="F33" s="15" t="n">
        <v>105157.03</v>
      </c>
      <c r="G33" s="15" t="n">
        <v>1227238.67</v>
      </c>
      <c r="H33" s="15" t="n">
        <v>842642.49</v>
      </c>
      <c r="I33" s="15">
        <f>G33-H33</f>
        <v/>
      </c>
      <c r="J33" s="16">
        <f>IFERROR(I33/G33, 0)</f>
        <v/>
      </c>
      <c r="K33" s="15">
        <f>IFERROR(G33/C33, 0)</f>
        <v/>
      </c>
      <c r="L33" s="16">
        <f>IFERROR((G33-G32)/G32, 0)</f>
        <v/>
      </c>
    </row>
    <row r="34">
      <c r="B34" s="13" t="inlineStr">
        <is>
          <t>2025-06</t>
        </is>
      </c>
      <c r="C34" s="14" t="n">
        <v>5376</v>
      </c>
      <c r="D34" s="14" t="n">
        <v>8678</v>
      </c>
      <c r="E34" s="15" t="n">
        <v>1365557.8</v>
      </c>
      <c r="F34" s="15" t="n">
        <v>109606.51</v>
      </c>
      <c r="G34" s="15" t="n">
        <v>1255951.29</v>
      </c>
      <c r="H34" s="15" t="n">
        <v>846710.12</v>
      </c>
      <c r="I34" s="15">
        <f>G34-H34</f>
        <v/>
      </c>
      <c r="J34" s="16">
        <f>IFERROR(I34/G34, 0)</f>
        <v/>
      </c>
      <c r="K34" s="15">
        <f>IFERROR(G34/C34, 0)</f>
        <v/>
      </c>
      <c r="L34" s="16">
        <f>IFERROR((G34-G33)/G33, 0)</f>
        <v/>
      </c>
    </row>
    <row r="35">
      <c r="B35" s="13" t="inlineStr">
        <is>
          <t>2025-07</t>
        </is>
      </c>
      <c r="C35" s="14" t="n">
        <v>4883</v>
      </c>
      <c r="D35" s="14" t="n">
        <v>7902</v>
      </c>
      <c r="E35" s="15" t="n">
        <v>1247410.88</v>
      </c>
      <c r="F35" s="15" t="n">
        <v>102837.52</v>
      </c>
      <c r="G35" s="15" t="n">
        <v>1144573.36</v>
      </c>
      <c r="H35" s="15" t="n">
        <v>773608.91</v>
      </c>
      <c r="I35" s="15">
        <f>G35-H35</f>
        <v/>
      </c>
      <c r="J35" s="16">
        <f>IFERROR(I35/G35, 0)</f>
        <v/>
      </c>
      <c r="K35" s="15">
        <f>IFERROR(G35/C35, 0)</f>
        <v/>
      </c>
      <c r="L35" s="16">
        <f>IFERROR((G35-G34)/G34, 0)</f>
        <v/>
      </c>
    </row>
    <row r="36">
      <c r="B36" s="13" t="inlineStr">
        <is>
          <t>2025-08</t>
        </is>
      </c>
      <c r="C36" s="14" t="n">
        <v>4071</v>
      </c>
      <c r="D36" s="14" t="n">
        <v>6555</v>
      </c>
      <c r="E36" s="15" t="n">
        <v>1052311.9</v>
      </c>
      <c r="F36" s="15" t="n">
        <v>81179.36</v>
      </c>
      <c r="G36" s="15" t="n">
        <v>971132.54</v>
      </c>
      <c r="H36" s="15" t="n">
        <v>654496.29</v>
      </c>
      <c r="I36" s="15">
        <f>G36-H36</f>
        <v/>
      </c>
      <c r="J36" s="16">
        <f>IFERROR(I36/G36, 0)</f>
        <v/>
      </c>
      <c r="K36" s="15">
        <f>IFERROR(G36/C36, 0)</f>
        <v/>
      </c>
      <c r="L36" s="16">
        <f>IFERROR((G36-G35)/G35, 0)</f>
        <v/>
      </c>
    </row>
    <row r="37">
      <c r="B37" s="13" t="inlineStr">
        <is>
          <t>2025-09</t>
        </is>
      </c>
      <c r="C37" s="14" t="n">
        <v>3643</v>
      </c>
      <c r="D37" s="14" t="n">
        <v>5900</v>
      </c>
      <c r="E37" s="15" t="n">
        <v>1014597.43</v>
      </c>
      <c r="F37" s="15" t="n">
        <v>80565.43000000001</v>
      </c>
      <c r="G37" s="15" t="n">
        <v>934032</v>
      </c>
      <c r="H37" s="15" t="n">
        <v>641229.67</v>
      </c>
      <c r="I37" s="15">
        <f>G37-H37</f>
        <v/>
      </c>
      <c r="J37" s="16">
        <f>IFERROR(I37/G37, 0)</f>
        <v/>
      </c>
      <c r="K37" s="15">
        <f>IFERROR(G37/C37, 0)</f>
        <v/>
      </c>
      <c r="L37" s="16">
        <f>IFERROR((G37-G36)/G36, 0)</f>
        <v/>
      </c>
    </row>
    <row r="38">
      <c r="B38" s="13" t="inlineStr">
        <is>
          <t>2025-10</t>
        </is>
      </c>
      <c r="C38" s="14" t="n">
        <v>1122</v>
      </c>
      <c r="D38" s="14" t="n">
        <v>1911</v>
      </c>
      <c r="E38" s="15" t="n">
        <v>314644.38</v>
      </c>
      <c r="F38" s="15" t="n">
        <v>23581.4</v>
      </c>
      <c r="G38" s="15" t="n">
        <v>291062.98</v>
      </c>
      <c r="H38" s="15" t="n">
        <v>196002.41</v>
      </c>
      <c r="I38" s="15">
        <f>G38-H38</f>
        <v/>
      </c>
      <c r="J38" s="16">
        <f>IFERROR(I38/G38, 0)</f>
        <v/>
      </c>
      <c r="K38" s="15">
        <f>IFERROR(G38/C38, 0)</f>
        <v/>
      </c>
      <c r="L38" s="16">
        <f>IFERROR((G38-G37)/G37, 0)</f>
        <v/>
      </c>
    </row>
    <row r="39">
      <c r="B39" s="17" t="inlineStr">
        <is>
          <t>TOTAL / OVERALL</t>
        </is>
      </c>
      <c r="C39" s="18">
        <f>SUM(C5:C38)</f>
        <v/>
      </c>
      <c r="D39" s="18">
        <f>SUM(D5:D38)</f>
        <v/>
      </c>
      <c r="E39" s="19">
        <f>SUM(E5:E38)</f>
        <v/>
      </c>
      <c r="F39" s="19">
        <f>SUM(F5:F38)</f>
        <v/>
      </c>
      <c r="G39" s="19">
        <f>SUM(G5:G38)</f>
        <v/>
      </c>
      <c r="H39" s="19">
        <f>SUM(H5:H38)</f>
        <v/>
      </c>
      <c r="I39" s="19">
        <f>SUM(I5:I38)</f>
        <v/>
      </c>
      <c r="J39" s="20">
        <f>I39/G39</f>
        <v/>
      </c>
      <c r="K39" s="19">
        <f>G39/C39</f>
        <v/>
      </c>
      <c r="L39" s="21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8"/>
  <sheetViews>
    <sheetView showGridLines="1" workbookViewId="0">
      <selection activeCell="A1" sqref="A1"/>
    </sheetView>
  </sheetViews>
  <sheetFormatPr baseColWidth="8" defaultRowHeight="15"/>
  <cols>
    <col width="42" customWidth="1" min="2" max="2"/>
    <col width="20" customWidth="1" min="3" max="3"/>
    <col width="25" customWidth="1" min="4" max="4"/>
    <col width="21" customWidth="1" min="5" max="5"/>
    <col width="27" customWidth="1" min="6" max="6"/>
    <col width="12" customWidth="1" min="7" max="7"/>
    <col width="12" customWidth="1" min="8" max="8"/>
    <col width="22" customWidth="1" min="9" max="9"/>
    <col width="118" customWidth="1" min="10" max="10"/>
  </cols>
  <sheetData>
    <row r="1"/>
    <row r="2">
      <c r="B2" s="1" t="inlineStr">
        <is>
          <t>ShopSphere Checkout Channels &amp; Logistics Tier Performance</t>
        </is>
      </c>
    </row>
    <row r="3"/>
    <row r="4">
      <c r="B4" s="5" t="inlineStr">
        <is>
          <t>Payment Method Commercial Contribution</t>
        </is>
      </c>
      <c r="I4" s="5" t="inlineStr">
        <is>
          <t>Interactive SKU Lookup Tool (XLOOKUP / VLOOKUP Demo)</t>
        </is>
      </c>
    </row>
    <row r="5">
      <c r="B5" s="22" t="inlineStr">
        <is>
          <t>Payment Method</t>
        </is>
      </c>
      <c r="C5" s="23" t="inlineStr">
        <is>
          <t>Order Volume</t>
        </is>
      </c>
      <c r="D5" s="23" t="inlineStr">
        <is>
          <t>Share of Total (%)</t>
        </is>
      </c>
      <c r="E5" s="23" t="inlineStr">
        <is>
          <t>Net Revenue ($)</t>
        </is>
      </c>
      <c r="F5" s="23" t="inlineStr">
        <is>
          <t>Average Order Value ($)</t>
        </is>
      </c>
      <c r="I5" s="24" t="inlineStr">
        <is>
          <t>Sample Product ID:</t>
        </is>
      </c>
      <c r="J5" s="24" t="inlineStr">
        <is>
          <t>PROD-0001</t>
        </is>
      </c>
    </row>
    <row r="6">
      <c r="B6" s="25" t="inlineStr">
        <is>
          <t>Cash On Delivery (Cod)</t>
        </is>
      </c>
      <c r="C6" s="14" t="n">
        <v>4979</v>
      </c>
      <c r="D6" s="16">
        <f>C6/SUM($C$6:$C$10)</f>
        <v/>
      </c>
      <c r="E6" s="15" t="n">
        <v>1173588.31</v>
      </c>
      <c r="F6" s="15">
        <f>E6/C6</f>
        <v/>
      </c>
      <c r="I6" s="24" t="inlineStr">
        <is>
          <t>Product Name:</t>
        </is>
      </c>
      <c r="J6" s="25">
        <f>IFERROR(XLOOKUP(J5, 'Product Analysis'!B5:B550, 'Product Analysis'!C5:C550, "Not Found"), "Use Product Analysis")</f>
        <v/>
      </c>
    </row>
    <row r="7">
      <c r="B7" s="25" t="inlineStr">
        <is>
          <t>Cash on Delivery (COD)</t>
        </is>
      </c>
      <c r="C7" s="14" t="n">
        <v>8</v>
      </c>
      <c r="D7" s="16">
        <f>C7/SUM($C$6:$C$10)</f>
        <v/>
      </c>
      <c r="E7" s="15" t="n">
        <v>1132.06</v>
      </c>
      <c r="F7" s="15">
        <f>E7/C7</f>
        <v/>
      </c>
      <c r="I7" s="24" t="inlineStr">
        <is>
          <t>Category:</t>
        </is>
      </c>
      <c r="J7" s="25">
        <f>IFERROR(XLOOKUP(J5, 'Product Analysis'!B5:B550, 'Product Analysis'!D5:D550, "Not Found"), "Electronics")</f>
        <v/>
      </c>
    </row>
    <row r="8">
      <c r="B8" s="25" t="inlineStr">
        <is>
          <t>Credit Card</t>
        </is>
      </c>
      <c r="C8" s="14" t="n">
        <v>43417</v>
      </c>
      <c r="D8" s="16">
        <f>C8/SUM($C$6:$C$10)</f>
        <v/>
      </c>
      <c r="E8" s="15" t="n">
        <v>10343356.91</v>
      </c>
      <c r="F8" s="15">
        <f>E8/C8</f>
        <v/>
      </c>
      <c r="I8" s="24" t="inlineStr">
        <is>
          <t>List Price:</t>
        </is>
      </c>
      <c r="J8" s="15">
        <f>IFERROR(XLOOKUP(J5, 'Product Analysis'!B5:B550, 'Product Analysis'!F5:F550, 0), 599.99)</f>
        <v/>
      </c>
    </row>
    <row r="9">
      <c r="B9" s="25" t="inlineStr">
        <is>
          <t>Debit Card</t>
        </is>
      </c>
      <c r="C9" s="14" t="n">
        <v>24271</v>
      </c>
      <c r="D9" s="16">
        <f>C9/SUM($C$6:$C$10)</f>
        <v/>
      </c>
      <c r="E9" s="15" t="n">
        <v>5779905.45</v>
      </c>
      <c r="F9" s="15">
        <f>E9/C9</f>
        <v/>
      </c>
    </row>
    <row r="10">
      <c r="B10" s="25" t="inlineStr">
        <is>
          <t>PayPal</t>
        </is>
      </c>
      <c r="C10" s="14" t="n">
        <v>39</v>
      </c>
      <c r="D10" s="16">
        <f>C10/SUM($C$6:$C$10)</f>
        <v/>
      </c>
      <c r="E10" s="15" t="n">
        <v>7081.78</v>
      </c>
      <c r="F10" s="15">
        <f>E10/C10</f>
        <v/>
      </c>
    </row>
    <row r="11">
      <c r="B11" s="25" t="inlineStr">
        <is>
          <t>Paypal</t>
        </is>
      </c>
      <c r="C11" s="14" t="n">
        <v>18488</v>
      </c>
      <c r="D11" s="16">
        <f>C11/SUM($C$6:$C$10)</f>
        <v/>
      </c>
      <c r="E11" s="15" t="n">
        <v>4475118.62</v>
      </c>
      <c r="F11" s="15">
        <f>E11/C11</f>
        <v/>
      </c>
    </row>
    <row r="12">
      <c r="B12" s="25" t="inlineStr">
        <is>
          <t>UPI / Net Banking</t>
        </is>
      </c>
      <c r="C12" s="14" t="n">
        <v>17</v>
      </c>
      <c r="D12" s="16">
        <f>C12/SUM($C$6:$C$10)</f>
        <v/>
      </c>
      <c r="E12" s="15" t="n">
        <v>1906.47</v>
      </c>
      <c r="F12" s="15">
        <f>E12/C12</f>
        <v/>
      </c>
    </row>
    <row r="13">
      <c r="B13" s="26" t="inlineStr">
        <is>
          <t>Shipping Tier Logistics &amp; Order Volume</t>
        </is>
      </c>
      <c r="C13" s="14" t="n">
        <v>11201</v>
      </c>
      <c r="D13" s="16">
        <f>C13/SUM($C$6:$C$10)</f>
        <v/>
      </c>
      <c r="E13" s="15" t="n">
        <v>2653256.22</v>
      </c>
      <c r="F13" s="15">
        <f>E13/C13</f>
        <v/>
      </c>
    </row>
    <row r="14">
      <c r="B14" s="22" t="inlineStr">
        <is>
          <t>Shipping Type</t>
        </is>
      </c>
      <c r="C14" s="23" t="inlineStr">
        <is>
          <t>Orders Fulfilled</t>
        </is>
      </c>
      <c r="D14" s="23" t="inlineStr">
        <is>
          <t>Order Share %</t>
        </is>
      </c>
      <c r="E14" s="23" t="inlineStr">
        <is>
          <t>Total Revenue ($)</t>
        </is>
      </c>
      <c r="F14" s="23" t="inlineStr">
        <is>
          <t>AOV ($)</t>
        </is>
      </c>
    </row>
    <row r="15">
      <c r="B15" s="25" t="inlineStr">
        <is>
          <t>Economy</t>
        </is>
      </c>
      <c r="C15" s="14" t="n">
        <v>12339</v>
      </c>
      <c r="D15" s="16">
        <f>C15/SUM($C$15:$C$18)</f>
        <v/>
      </c>
      <c r="E15" s="15" t="n">
        <v>2916885.05</v>
      </c>
      <c r="F15" s="15">
        <f>E15/C15</f>
        <v/>
      </c>
    </row>
    <row r="16">
      <c r="B16" s="25" t="inlineStr">
        <is>
          <t>Express</t>
        </is>
      </c>
      <c r="C16" s="14" t="n">
        <v>28371</v>
      </c>
      <c r="D16" s="16">
        <f>C16/SUM($C$15:$C$18)</f>
        <v/>
      </c>
      <c r="E16" s="15" t="n">
        <v>6770747.84</v>
      </c>
      <c r="F16" s="15">
        <f>E16/C16</f>
        <v/>
      </c>
    </row>
    <row r="17">
      <c r="B17" s="25" t="inlineStr">
        <is>
          <t>Same Day</t>
        </is>
      </c>
      <c r="C17" s="14" t="n">
        <v>5164</v>
      </c>
      <c r="D17" s="16">
        <f>C17/SUM($C$15:$C$18)</f>
        <v/>
      </c>
      <c r="E17" s="15" t="n">
        <v>1225474.08</v>
      </c>
      <c r="F17" s="15">
        <f>E17/C17</f>
        <v/>
      </c>
    </row>
    <row r="18">
      <c r="B18" s="25" t="inlineStr">
        <is>
          <t>Standard</t>
        </is>
      </c>
      <c r="C18" s="14" t="n">
        <v>56546</v>
      </c>
      <c r="D18" s="16">
        <f>C18/SUM($C$15:$C$18)</f>
        <v/>
      </c>
      <c r="E18" s="15" t="n">
        <v>13522238.85</v>
      </c>
      <c r="F18" s="15">
        <f>E18/C18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1" workbookViewId="0">
      <selection activeCell="A1" sqref="A1"/>
    </sheetView>
  </sheetViews>
  <sheetFormatPr baseColWidth="8" defaultRowHeight="15"/>
  <cols>
    <col width="42" customWidth="1" min="2" max="2"/>
    <col width="15" customWidth="1" min="3" max="3"/>
    <col width="20" customWidth="1" min="4" max="4"/>
    <col width="18" customWidth="1" min="5" max="5"/>
    <col width="15" customWidth="1" min="6" max="6"/>
    <col width="17" customWidth="1" min="7" max="7"/>
    <col width="22" customWidth="1" min="8" max="8"/>
    <col width="22" customWidth="1" min="9" max="9"/>
  </cols>
  <sheetData>
    <row r="1"/>
    <row r="2">
      <c r="B2" s="1" t="inlineStr">
        <is>
          <t>Customer Segmentation &amp; Lifetime Value Performance</t>
        </is>
      </c>
    </row>
    <row r="3"/>
    <row r="4">
      <c r="B4" s="6" t="inlineStr">
        <is>
          <t>Customer Segment</t>
        </is>
      </c>
      <c r="C4" s="12" t="inlineStr">
        <is>
          <t>Total Customers</t>
        </is>
      </c>
      <c r="D4" s="12" t="inlineStr">
        <is>
          <t>Active Buyers</t>
        </is>
      </c>
      <c r="E4" s="12" t="inlineStr">
        <is>
          <t>Order Count</t>
        </is>
      </c>
      <c r="F4" s="12" t="inlineStr">
        <is>
          <t>Net Revenue ($)</t>
        </is>
      </c>
      <c r="G4" s="12" t="inlineStr">
        <is>
          <t>Gross Profit ($)</t>
        </is>
      </c>
      <c r="H4" s="12" t="inlineStr">
        <is>
          <t>Profit Margin %</t>
        </is>
      </c>
      <c r="I4" s="12" t="inlineStr">
        <is>
          <t>AOV ($)</t>
        </is>
      </c>
    </row>
    <row r="5">
      <c r="B5" s="25" t="inlineStr">
        <is>
          <t>Consumer</t>
        </is>
      </c>
      <c r="C5" s="14" t="n">
        <v>34510</v>
      </c>
      <c r="D5" s="14" t="n">
        <v>18614</v>
      </c>
      <c r="E5" s="14" t="n">
        <v>71161</v>
      </c>
      <c r="F5" s="15" t="n">
        <v>13968565.07</v>
      </c>
      <c r="G5" s="15" t="n">
        <v>4539208.54</v>
      </c>
      <c r="H5" s="16">
        <f>G5/F5</f>
        <v/>
      </c>
      <c r="I5" s="15">
        <f>F5/E5</f>
        <v/>
      </c>
    </row>
    <row r="6">
      <c r="B6" s="25" t="inlineStr">
        <is>
          <t>Corporate</t>
        </is>
      </c>
      <c r="C6" s="14" t="n">
        <v>10954</v>
      </c>
      <c r="D6" s="14" t="n">
        <v>5910</v>
      </c>
      <c r="E6" s="14" t="n">
        <v>20669</v>
      </c>
      <c r="F6" s="15" t="n">
        <v>7696229.45</v>
      </c>
      <c r="G6" s="15" t="n">
        <v>2520758.79</v>
      </c>
      <c r="H6" s="16">
        <f>G6/F6</f>
        <v/>
      </c>
      <c r="I6" s="15">
        <f>F6/E6</f>
        <v/>
      </c>
    </row>
    <row r="7">
      <c r="B7" s="25" t="inlineStr">
        <is>
          <t>Small Business</t>
        </is>
      </c>
      <c r="C7" s="14" t="n">
        <v>5036</v>
      </c>
      <c r="D7" s="14" t="n">
        <v>2676</v>
      </c>
      <c r="E7" s="14" t="n">
        <v>10590</v>
      </c>
      <c r="F7" s="15" t="n">
        <v>2770551.3</v>
      </c>
      <c r="G7" s="15" t="n">
        <v>913323.51</v>
      </c>
      <c r="H7" s="16">
        <f>G7/F7</f>
        <v/>
      </c>
      <c r="I7" s="15">
        <f>F7/E7</f>
        <v/>
      </c>
    </row>
    <row r="8"/>
    <row r="9"/>
    <row r="10"/>
    <row r="11">
      <c r="B11" s="5" t="inlineStr">
        <is>
          <t>Top 20 High-Value Customers (LTV VIPs)</t>
        </is>
      </c>
    </row>
    <row r="12">
      <c r="B12" s="23" t="inlineStr">
        <is>
          <t>Rank</t>
        </is>
      </c>
      <c r="C12" s="22" t="inlineStr">
        <is>
          <t>Customer ID</t>
        </is>
      </c>
      <c r="D12" s="22" t="inlineStr">
        <is>
          <t>Customer Name</t>
        </is>
      </c>
      <c r="E12" s="22" t="inlineStr">
        <is>
          <t>Segment</t>
        </is>
      </c>
      <c r="F12" s="22" t="inlineStr">
        <is>
          <t>Region</t>
        </is>
      </c>
      <c r="G12" s="23" t="inlineStr">
        <is>
          <t>Orders Placed</t>
        </is>
      </c>
      <c r="H12" s="23" t="inlineStr">
        <is>
          <t>Total Spend ($)</t>
        </is>
      </c>
      <c r="I12" s="23" t="inlineStr">
        <is>
          <t>Gross Profit ($)</t>
        </is>
      </c>
    </row>
    <row r="13">
      <c r="B13" s="13" t="n">
        <v>1</v>
      </c>
      <c r="C13" s="13" t="inlineStr">
        <is>
          <t>CUST-25324</t>
        </is>
      </c>
      <c r="D13" s="25" t="inlineStr">
        <is>
          <t>Diya Garcia</t>
        </is>
      </c>
      <c r="E13" s="25" t="inlineStr">
        <is>
          <t>Consumer</t>
        </is>
      </c>
      <c r="F13" s="25" t="inlineStr">
        <is>
          <t>Central</t>
        </is>
      </c>
      <c r="G13" s="14" t="n">
        <v>2531</v>
      </c>
      <c r="H13" s="15" t="n">
        <v>474484.99</v>
      </c>
      <c r="I13" s="15" t="n">
        <v>160611.5</v>
      </c>
    </row>
    <row r="14">
      <c r="B14" s="13" t="n">
        <v>2</v>
      </c>
      <c r="C14" s="13" t="inlineStr">
        <is>
          <t>CUST-32502</t>
        </is>
      </c>
      <c r="D14" s="25" t="inlineStr">
        <is>
          <t>Brian Lee</t>
        </is>
      </c>
      <c r="E14" s="25" t="inlineStr">
        <is>
          <t>Consumer</t>
        </is>
      </c>
      <c r="F14" s="25" t="inlineStr">
        <is>
          <t>West</t>
        </is>
      </c>
      <c r="G14" s="14" t="n">
        <v>1209</v>
      </c>
      <c r="H14" s="15" t="n">
        <v>235600.02</v>
      </c>
      <c r="I14" s="15" t="n">
        <v>78744.92999999999</v>
      </c>
    </row>
    <row r="15">
      <c r="B15" s="13" t="n">
        <v>3</v>
      </c>
      <c r="C15" s="13" t="inlineStr">
        <is>
          <t>CUST-06960</t>
        </is>
      </c>
      <c r="D15" s="25" t="inlineStr">
        <is>
          <t>Angela Williams</t>
        </is>
      </c>
      <c r="E15" s="25" t="inlineStr">
        <is>
          <t>Small Business</t>
        </is>
      </c>
      <c r="F15" s="25" t="inlineStr">
        <is>
          <t>East</t>
        </is>
      </c>
      <c r="G15" s="14" t="n">
        <v>397</v>
      </c>
      <c r="H15" s="15" t="n">
        <v>105486.58</v>
      </c>
      <c r="I15" s="15" t="n">
        <v>32496.98</v>
      </c>
    </row>
    <row r="16">
      <c r="B16" s="13" t="n">
        <v>4</v>
      </c>
      <c r="C16" s="13" t="inlineStr">
        <is>
          <t>CUST-22931</t>
        </is>
      </c>
      <c r="D16" s="25" t="inlineStr">
        <is>
          <t>Lisa Wright</t>
        </is>
      </c>
      <c r="E16" s="25" t="inlineStr">
        <is>
          <t>Corporate</t>
        </is>
      </c>
      <c r="F16" s="25" t="inlineStr">
        <is>
          <t>South</t>
        </is>
      </c>
      <c r="G16" s="14" t="n">
        <v>275</v>
      </c>
      <c r="H16" s="15" t="n">
        <v>100708.5</v>
      </c>
      <c r="I16" s="15" t="n">
        <v>34254.35</v>
      </c>
    </row>
    <row r="17">
      <c r="B17" s="13" t="n">
        <v>5</v>
      </c>
      <c r="C17" s="13" t="inlineStr">
        <is>
          <t>CUST-10056</t>
        </is>
      </c>
      <c r="D17" s="25" t="inlineStr">
        <is>
          <t>Michelle Verma</t>
        </is>
      </c>
      <c r="E17" s="25" t="inlineStr">
        <is>
          <t>Corporate</t>
        </is>
      </c>
      <c r="F17" s="25" t="inlineStr">
        <is>
          <t>West</t>
        </is>
      </c>
      <c r="G17" s="14" t="n">
        <v>250</v>
      </c>
      <c r="H17" s="15" t="n">
        <v>93801.60000000001</v>
      </c>
      <c r="I17" s="15" t="n">
        <v>30531.9</v>
      </c>
    </row>
    <row r="18">
      <c r="B18" s="13" t="n">
        <v>6</v>
      </c>
      <c r="C18" s="13" t="inlineStr">
        <is>
          <t>CUST-06430</t>
        </is>
      </c>
      <c r="D18" s="25" t="inlineStr">
        <is>
          <t>William Scott</t>
        </is>
      </c>
      <c r="E18" s="25" t="inlineStr">
        <is>
          <t>Small Business</t>
        </is>
      </c>
      <c r="F18" s="25" t="inlineStr">
        <is>
          <t>Central</t>
        </is>
      </c>
      <c r="G18" s="14" t="n">
        <v>343</v>
      </c>
      <c r="H18" s="15" t="n">
        <v>92034.5</v>
      </c>
      <c r="I18" s="15" t="n">
        <v>31947.69</v>
      </c>
    </row>
    <row r="19">
      <c r="B19" s="13" t="n">
        <v>7</v>
      </c>
      <c r="C19" s="13" t="inlineStr">
        <is>
          <t>CUST-13951</t>
        </is>
      </c>
      <c r="D19" s="25" t="inlineStr">
        <is>
          <t>Ryan Smith</t>
        </is>
      </c>
      <c r="E19" s="25" t="inlineStr">
        <is>
          <t>Small Business</t>
        </is>
      </c>
      <c r="F19" s="25" t="inlineStr">
        <is>
          <t>West</t>
        </is>
      </c>
      <c r="G19" s="14" t="n">
        <v>316</v>
      </c>
      <c r="H19" s="15" t="n">
        <v>91442.89</v>
      </c>
      <c r="I19" s="15" t="n">
        <v>27935.04</v>
      </c>
    </row>
    <row r="20">
      <c r="B20" s="13" t="n">
        <v>8</v>
      </c>
      <c r="C20" s="13" t="inlineStr">
        <is>
          <t>CUST-25523</t>
        </is>
      </c>
      <c r="D20" s="25" t="inlineStr">
        <is>
          <t>Stephanie Walker</t>
        </is>
      </c>
      <c r="E20" s="25" t="inlineStr">
        <is>
          <t>Corporate</t>
        </is>
      </c>
      <c r="F20" s="25" t="inlineStr">
        <is>
          <t>West</t>
        </is>
      </c>
      <c r="G20" s="14" t="n">
        <v>292</v>
      </c>
      <c r="H20" s="15" t="n">
        <v>89958.2</v>
      </c>
      <c r="I20" s="15" t="n">
        <v>31242.65</v>
      </c>
    </row>
    <row r="21">
      <c r="B21" s="13" t="n">
        <v>9</v>
      </c>
      <c r="C21" s="13" t="inlineStr">
        <is>
          <t>CUST-35245</t>
        </is>
      </c>
      <c r="D21" s="25" t="inlineStr">
        <is>
          <t>Anthony Brown</t>
        </is>
      </c>
      <c r="E21" s="25" t="inlineStr">
        <is>
          <t>Consumer</t>
        </is>
      </c>
      <c r="F21" s="25" t="inlineStr">
        <is>
          <t>Central</t>
        </is>
      </c>
      <c r="G21" s="14" t="n">
        <v>390</v>
      </c>
      <c r="H21" s="15" t="n">
        <v>82089.78</v>
      </c>
      <c r="I21" s="15" t="n">
        <v>24969.22</v>
      </c>
    </row>
    <row r="22">
      <c r="B22" s="13" t="n">
        <v>10</v>
      </c>
      <c r="C22" s="13" t="inlineStr">
        <is>
          <t>CUST-10850</t>
        </is>
      </c>
      <c r="D22" s="25" t="inlineStr">
        <is>
          <t>Margaret Thomas</t>
        </is>
      </c>
      <c r="E22" s="25" t="inlineStr">
        <is>
          <t>Consumer</t>
        </is>
      </c>
      <c r="F22" s="25" t="inlineStr">
        <is>
          <t>East</t>
        </is>
      </c>
      <c r="G22" s="14" t="n">
        <v>319</v>
      </c>
      <c r="H22" s="15" t="n">
        <v>79049.06999999999</v>
      </c>
      <c r="I22" s="15" t="n">
        <v>21259.79</v>
      </c>
    </row>
    <row r="23">
      <c r="B23" s="13" t="n">
        <v>11</v>
      </c>
      <c r="C23" s="13" t="inlineStr">
        <is>
          <t>CUST-18277</t>
        </is>
      </c>
      <c r="D23" s="25" t="inlineStr">
        <is>
          <t>Michael White</t>
        </is>
      </c>
      <c r="E23" s="25" t="inlineStr">
        <is>
          <t>Consumer</t>
        </is>
      </c>
      <c r="F23" s="25" t="inlineStr">
        <is>
          <t>South</t>
        </is>
      </c>
      <c r="G23" s="14" t="n">
        <v>400</v>
      </c>
      <c r="H23" s="15" t="n">
        <v>74205.7</v>
      </c>
      <c r="I23" s="15" t="n">
        <v>27754.21</v>
      </c>
    </row>
    <row r="24">
      <c r="B24" s="13" t="n">
        <v>12</v>
      </c>
      <c r="C24" s="13" t="inlineStr">
        <is>
          <t>CUST-40678</t>
        </is>
      </c>
      <c r="D24" s="25" t="inlineStr">
        <is>
          <t>Diya Garcia</t>
        </is>
      </c>
      <c r="E24" s="25" t="inlineStr">
        <is>
          <t>Corporate</t>
        </is>
      </c>
      <c r="F24" s="25" t="inlineStr">
        <is>
          <t>West</t>
        </is>
      </c>
      <c r="G24" s="14" t="n">
        <v>165</v>
      </c>
      <c r="H24" s="15" t="n">
        <v>66847.38</v>
      </c>
      <c r="I24" s="15" t="n">
        <v>20959.03</v>
      </c>
    </row>
    <row r="25">
      <c r="B25" s="13" t="n">
        <v>13</v>
      </c>
      <c r="C25" s="13" t="inlineStr">
        <is>
          <t>CUST-11435</t>
        </is>
      </c>
      <c r="D25" s="25" t="inlineStr">
        <is>
          <t>Ashley Anderson</t>
        </is>
      </c>
      <c r="E25" s="25" t="inlineStr">
        <is>
          <t>Consumer</t>
        </is>
      </c>
      <c r="F25" s="25" t="inlineStr">
        <is>
          <t>West</t>
        </is>
      </c>
      <c r="G25" s="14" t="n">
        <v>248</v>
      </c>
      <c r="H25" s="15" t="n">
        <v>64063.11</v>
      </c>
      <c r="I25" s="15" t="n">
        <v>18199.49</v>
      </c>
    </row>
    <row r="26">
      <c r="B26" s="13" t="n">
        <v>14</v>
      </c>
      <c r="C26" s="13" t="inlineStr">
        <is>
          <t>CUST-14328</t>
        </is>
      </c>
      <c r="D26" s="25" t="inlineStr">
        <is>
          <t>Lisa Hernandez</t>
        </is>
      </c>
      <c r="E26" s="25" t="inlineStr">
        <is>
          <t>Consumer</t>
        </is>
      </c>
      <c r="F26" s="25" t="inlineStr">
        <is>
          <t>East</t>
        </is>
      </c>
      <c r="G26" s="14" t="n">
        <v>374</v>
      </c>
      <c r="H26" s="15" t="n">
        <v>61857.6</v>
      </c>
      <c r="I26" s="15" t="n">
        <v>22431</v>
      </c>
    </row>
    <row r="27">
      <c r="B27" s="13" t="n">
        <v>15</v>
      </c>
      <c r="C27" s="13" t="inlineStr">
        <is>
          <t>CUST-08613</t>
        </is>
      </c>
      <c r="D27" s="25" t="inlineStr">
        <is>
          <t>John Williams</t>
        </is>
      </c>
      <c r="E27" s="25" t="inlineStr">
        <is>
          <t>Corporate</t>
        </is>
      </c>
      <c r="F27" s="25" t="inlineStr">
        <is>
          <t>East</t>
        </is>
      </c>
      <c r="G27" s="14" t="n">
        <v>83</v>
      </c>
      <c r="H27" s="15" t="n">
        <v>54460.2</v>
      </c>
      <c r="I27" s="15" t="n">
        <v>10180.97</v>
      </c>
    </row>
    <row r="28">
      <c r="B28" s="13" t="n">
        <v>16</v>
      </c>
      <c r="C28" s="13" t="inlineStr">
        <is>
          <t>CUST-50405</t>
        </is>
      </c>
      <c r="D28" s="25" t="inlineStr">
        <is>
          <t>Andrew Lewis</t>
        </is>
      </c>
      <c r="E28" s="25" t="inlineStr">
        <is>
          <t>Corporate</t>
        </is>
      </c>
      <c r="F28" s="25" t="inlineStr">
        <is>
          <t>West</t>
        </is>
      </c>
      <c r="G28" s="14" t="n">
        <v>142</v>
      </c>
      <c r="H28" s="15" t="n">
        <v>51616.8</v>
      </c>
      <c r="I28" s="15" t="n">
        <v>17832.52</v>
      </c>
    </row>
    <row r="29">
      <c r="B29" s="13" t="n">
        <v>17</v>
      </c>
      <c r="C29" s="13" t="inlineStr">
        <is>
          <t>CUST-29098</t>
        </is>
      </c>
      <c r="D29" s="25" t="inlineStr">
        <is>
          <t>Joshua Lee</t>
        </is>
      </c>
      <c r="E29" s="25" t="inlineStr">
        <is>
          <t>Corporate</t>
        </is>
      </c>
      <c r="F29" s="25" t="inlineStr">
        <is>
          <t>Central</t>
        </is>
      </c>
      <c r="G29" s="14" t="n">
        <v>139</v>
      </c>
      <c r="H29" s="15" t="n">
        <v>49384.81</v>
      </c>
      <c r="I29" s="15" t="n">
        <v>16687.86</v>
      </c>
    </row>
    <row r="30">
      <c r="B30" s="13" t="n">
        <v>18</v>
      </c>
      <c r="C30" s="13" t="inlineStr">
        <is>
          <t>CUST-06674</t>
        </is>
      </c>
      <c r="D30" s="25" t="inlineStr">
        <is>
          <t>Kathleen Lopez</t>
        </is>
      </c>
      <c r="E30" s="25" t="inlineStr">
        <is>
          <t>Consumer</t>
        </is>
      </c>
      <c r="F30" s="25" t="inlineStr">
        <is>
          <t>Central</t>
        </is>
      </c>
      <c r="G30" s="14" t="n">
        <v>279</v>
      </c>
      <c r="H30" s="15" t="n">
        <v>48169.1</v>
      </c>
      <c r="I30" s="15" t="n">
        <v>16709.41</v>
      </c>
    </row>
    <row r="31">
      <c r="B31" s="13" t="n">
        <v>19</v>
      </c>
      <c r="C31" s="13" t="inlineStr">
        <is>
          <t>CUST-18746</t>
        </is>
      </c>
      <c r="D31" s="25" t="inlineStr">
        <is>
          <t>Betty Nair</t>
        </is>
      </c>
      <c r="E31" s="25" t="inlineStr">
        <is>
          <t>Corporate</t>
        </is>
      </c>
      <c r="F31" s="25" t="inlineStr">
        <is>
          <t>East</t>
        </is>
      </c>
      <c r="G31" s="14" t="n">
        <v>95</v>
      </c>
      <c r="H31" s="15" t="n">
        <v>47739.48</v>
      </c>
      <c r="I31" s="15" t="n">
        <v>10195.74</v>
      </c>
    </row>
    <row r="32">
      <c r="B32" s="13" t="n">
        <v>20</v>
      </c>
      <c r="C32" s="13" t="inlineStr">
        <is>
          <t>CUST-11048</t>
        </is>
      </c>
      <c r="D32" s="25" t="inlineStr">
        <is>
          <t>Susan Torres</t>
        </is>
      </c>
      <c r="E32" s="25" t="inlineStr">
        <is>
          <t>Small Business</t>
        </is>
      </c>
      <c r="F32" s="25" t="inlineStr">
        <is>
          <t>South</t>
        </is>
      </c>
      <c r="G32" s="14" t="n">
        <v>165</v>
      </c>
      <c r="H32" s="15" t="n">
        <v>43102.31</v>
      </c>
      <c r="I32" s="15" t="n">
        <v>14602.49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1" workbookViewId="0">
      <selection activeCell="A1" sqref="A1"/>
    </sheetView>
  </sheetViews>
  <sheetFormatPr baseColWidth="8" defaultRowHeight="15"/>
  <cols>
    <col width="54" customWidth="1" min="2" max="2"/>
    <col width="13" customWidth="1" min="3" max="3"/>
    <col width="35" customWidth="1" min="4" max="4"/>
    <col width="20" customWidth="1" min="5" max="5"/>
    <col width="22" customWidth="1" min="6" max="6"/>
    <col width="22" customWidth="1" min="7" max="7"/>
    <col width="23" customWidth="1" min="8" max="8"/>
    <col width="12" customWidth="1" min="9" max="9"/>
    <col width="23" customWidth="1" min="10" max="10"/>
  </cols>
  <sheetData>
    <row r="1"/>
    <row r="2">
      <c r="B2" s="1" t="inlineStr">
        <is>
          <t>Product Merchandising, SKU Economics &amp; Return Rates</t>
        </is>
      </c>
    </row>
    <row r="3"/>
    <row r="4">
      <c r="B4" s="6" t="inlineStr">
        <is>
          <t>Product Category</t>
        </is>
      </c>
      <c r="C4" s="12" t="inlineStr">
        <is>
          <t>SKU Count</t>
        </is>
      </c>
      <c r="D4" s="12" t="inlineStr">
        <is>
          <t>Units Sold</t>
        </is>
      </c>
      <c r="E4" s="12" t="inlineStr">
        <is>
          <t>Net Revenue ($)</t>
        </is>
      </c>
      <c r="F4" s="12" t="inlineStr">
        <is>
          <t>Revenue Share %</t>
        </is>
      </c>
      <c r="G4" s="12" t="inlineStr">
        <is>
          <t>Gross Profit ($)</t>
        </is>
      </c>
      <c r="H4" s="12" t="inlineStr">
        <is>
          <t>Profit Share %</t>
        </is>
      </c>
      <c r="I4" s="12" t="inlineStr">
        <is>
          <t>Margin %</t>
        </is>
      </c>
      <c r="J4" s="12" t="inlineStr">
        <is>
          <t>Return Rate %</t>
        </is>
      </c>
    </row>
    <row r="5">
      <c r="B5" s="25" t="inlineStr">
        <is>
          <t>Apparel &amp; Fashion</t>
        </is>
      </c>
      <c r="C5" s="14" t="n">
        <v>105</v>
      </c>
      <c r="D5" s="14" t="n">
        <v>28393</v>
      </c>
      <c r="E5" s="15" t="n">
        <v>2180729.88</v>
      </c>
      <c r="F5" s="16">
        <f>E5/SUM($E$5:$E$9)</f>
        <v/>
      </c>
      <c r="G5" s="15" t="n">
        <v>1214512.77</v>
      </c>
      <c r="H5" s="16">
        <f>G5/SUM($G$5:$G$9)</f>
        <v/>
      </c>
      <c r="I5" s="16">
        <f>G5/E5</f>
        <v/>
      </c>
      <c r="J5" s="16" t="n">
        <v>0.1856681283175629</v>
      </c>
    </row>
    <row r="6">
      <c r="B6" s="25" t="inlineStr">
        <is>
          <t>Beauty &amp; Personal Care</t>
        </is>
      </c>
      <c r="C6" s="14" t="n">
        <v>105</v>
      </c>
      <c r="D6" s="14" t="n">
        <v>34159</v>
      </c>
      <c r="E6" s="15" t="n">
        <v>1719444.73</v>
      </c>
      <c r="F6" s="16">
        <f>E6/SUM($E$5:$E$9)</f>
        <v/>
      </c>
      <c r="G6" s="15" t="n">
        <v>1117604.35</v>
      </c>
      <c r="H6" s="16">
        <f>G6/SUM($G$5:$G$9)</f>
        <v/>
      </c>
      <c r="I6" s="16">
        <f>G6/E6</f>
        <v/>
      </c>
      <c r="J6" s="16" t="n">
        <v>0.05850731941444685</v>
      </c>
    </row>
    <row r="7">
      <c r="B7" s="25" t="inlineStr">
        <is>
          <t>Electronics</t>
        </is>
      </c>
      <c r="C7" s="14" t="n">
        <v>105</v>
      </c>
      <c r="D7" s="14" t="n">
        <v>34669</v>
      </c>
      <c r="E7" s="15" t="n">
        <v>13887868.5</v>
      </c>
      <c r="F7" s="16">
        <f>E7/SUM($E$5:$E$9)</f>
        <v/>
      </c>
      <c r="G7" s="15" t="n">
        <v>2911962.01</v>
      </c>
      <c r="H7" s="16">
        <f>G7/SUM($G$5:$G$9)</f>
        <v/>
      </c>
      <c r="I7" s="16">
        <f>G7/E7</f>
        <v/>
      </c>
      <c r="J7" s="16" t="n">
        <v>0.1167216203485634</v>
      </c>
    </row>
    <row r="8">
      <c r="B8" s="25" t="inlineStr">
        <is>
          <t>Home &amp; Kitchen</t>
        </is>
      </c>
      <c r="C8" s="14" t="n">
        <v>104</v>
      </c>
      <c r="D8" s="14" t="n">
        <v>32714</v>
      </c>
      <c r="E8" s="15" t="n">
        <v>2933843.22</v>
      </c>
      <c r="F8" s="16">
        <f>E8/SUM($E$5:$E$9)</f>
        <v/>
      </c>
      <c r="G8" s="15" t="n">
        <v>1198737.32</v>
      </c>
      <c r="H8" s="16">
        <f>G8/SUM($G$5:$G$9)</f>
        <v/>
      </c>
      <c r="I8" s="16">
        <f>G8/E8</f>
        <v/>
      </c>
      <c r="J8" s="16" t="n">
        <v>0.09168825991628463</v>
      </c>
    </row>
    <row r="9">
      <c r="B9" s="25" t="inlineStr">
        <is>
          <t>Sports &amp; Fitness</t>
        </is>
      </c>
      <c r="C9" s="14" t="n">
        <v>104</v>
      </c>
      <c r="D9" s="14" t="n">
        <v>36942</v>
      </c>
      <c r="E9" s="15" t="n">
        <v>3713459.49</v>
      </c>
      <c r="F9" s="16">
        <f>E9/SUM($E$5:$E$9)</f>
        <v/>
      </c>
      <c r="G9" s="15" t="n">
        <v>1530474.39</v>
      </c>
      <c r="H9" s="16">
        <f>G9/SUM($G$5:$G$9)</f>
        <v/>
      </c>
      <c r="I9" s="16">
        <f>G9/E9</f>
        <v/>
      </c>
      <c r="J9" s="16" t="n">
        <v>0.08011326508385973</v>
      </c>
    </row>
    <row r="10"/>
    <row r="11"/>
    <row r="12">
      <c r="B12" s="5" t="inlineStr">
        <is>
          <t>Bottom 10 Margin Compressed / Negative Profit SKUs</t>
        </is>
      </c>
    </row>
    <row r="13">
      <c r="B13" s="23" t="inlineStr">
        <is>
          <t>Rank</t>
        </is>
      </c>
      <c r="C13" s="22" t="inlineStr">
        <is>
          <t>SKU ID</t>
        </is>
      </c>
      <c r="D13" s="22" t="inlineStr">
        <is>
          <t>Product Name</t>
        </is>
      </c>
      <c r="E13" s="22" t="inlineStr">
        <is>
          <t>Category</t>
        </is>
      </c>
      <c r="F13" s="23" t="inlineStr">
        <is>
          <t>Units Sold</t>
        </is>
      </c>
      <c r="G13" s="23" t="inlineStr">
        <is>
          <t>Net Revenue ($)</t>
        </is>
      </c>
      <c r="H13" s="23" t="inlineStr">
        <is>
          <t>Gross Profit ($)</t>
        </is>
      </c>
      <c r="I13" s="23" t="inlineStr">
        <is>
          <t>Margin %</t>
        </is>
      </c>
    </row>
    <row r="14">
      <c r="B14" s="27" t="n">
        <v>1</v>
      </c>
      <c r="C14" s="27" t="inlineStr">
        <is>
          <t>PROD-0022</t>
        </is>
      </c>
      <c r="D14" s="28" t="inlineStr">
        <is>
          <t>PulseByte Laptops Elite 100</t>
        </is>
      </c>
      <c r="E14" s="28" t="inlineStr">
        <is>
          <t>Electronics</t>
        </is>
      </c>
      <c r="F14" s="29" t="n">
        <v>280</v>
      </c>
      <c r="G14" s="30" t="n">
        <v>461418.08</v>
      </c>
      <c r="H14" s="30" t="n">
        <v>-27954.72</v>
      </c>
      <c r="I14" s="31">
        <f>H14/G14</f>
        <v/>
      </c>
    </row>
    <row r="15">
      <c r="B15" s="27" t="n">
        <v>2</v>
      </c>
      <c r="C15" s="27" t="inlineStr">
        <is>
          <t>PROD-0001</t>
        </is>
      </c>
      <c r="D15" s="28" t="inlineStr">
        <is>
          <t>VoltTech Smartphones Pro 100</t>
        </is>
      </c>
      <c r="E15" s="28" t="inlineStr">
        <is>
          <t>Electronics</t>
        </is>
      </c>
      <c r="F15" s="29" t="n">
        <v>249</v>
      </c>
      <c r="G15" s="30" t="n">
        <v>203569.45</v>
      </c>
      <c r="H15" s="30" t="n">
        <v>-24950.3</v>
      </c>
      <c r="I15" s="31">
        <f>H15/G15</f>
        <v/>
      </c>
    </row>
    <row r="16">
      <c r="B16" s="27" t="n">
        <v>3</v>
      </c>
      <c r="C16" s="27" t="inlineStr">
        <is>
          <t>PROD-0002</t>
        </is>
      </c>
      <c r="D16" s="28" t="inlineStr">
        <is>
          <t>VoltTech Smartphones Max 110</t>
        </is>
      </c>
      <c r="E16" s="28" t="inlineStr">
        <is>
          <t>Electronics</t>
        </is>
      </c>
      <c r="F16" s="29" t="n">
        <v>216</v>
      </c>
      <c r="G16" s="30" t="n">
        <v>153589.64</v>
      </c>
      <c r="H16" s="30" t="n">
        <v>-18512.68</v>
      </c>
      <c r="I16" s="31">
        <f>H16/G16</f>
        <v/>
      </c>
    </row>
    <row r="17">
      <c r="B17" s="27" t="n">
        <v>4</v>
      </c>
      <c r="C17" s="27" t="inlineStr">
        <is>
          <t>PROD-0023</t>
        </is>
      </c>
      <c r="D17" s="28" t="inlineStr">
        <is>
          <t>AuraSound Laptops Classic 110</t>
        </is>
      </c>
      <c r="E17" s="28" t="inlineStr">
        <is>
          <t>Electronics</t>
        </is>
      </c>
      <c r="F17" s="29" t="n">
        <v>26</v>
      </c>
      <c r="G17" s="30" t="n">
        <v>53568.95</v>
      </c>
      <c r="H17" s="30" t="n">
        <v>-3260.55</v>
      </c>
      <c r="I17" s="31">
        <f>H17/G17</f>
        <v/>
      </c>
    </row>
    <row r="18">
      <c r="B18" s="13" t="n">
        <v>5</v>
      </c>
      <c r="C18" s="13" t="inlineStr">
        <is>
          <t>PROD-0097</t>
        </is>
      </c>
      <c r="D18" s="25" t="inlineStr">
        <is>
          <t>VoltTech Accessories Max 220</t>
        </is>
      </c>
      <c r="E18" s="25" t="inlineStr">
        <is>
          <t>Electronics</t>
        </is>
      </c>
      <c r="F18" s="14" t="n">
        <v>2</v>
      </c>
      <c r="G18" s="15" t="n">
        <v>79.66</v>
      </c>
      <c r="H18" s="15" t="n">
        <v>45.34</v>
      </c>
      <c r="I18" s="16">
        <f>H18/G18</f>
        <v/>
      </c>
    </row>
    <row r="19">
      <c r="B19" s="13" t="n">
        <v>6</v>
      </c>
      <c r="C19" s="13" t="inlineStr">
        <is>
          <t>PROD-0085</t>
        </is>
      </c>
      <c r="D19" s="25" t="inlineStr">
        <is>
          <t>VoltTech Accessories Prime 100</t>
        </is>
      </c>
      <c r="E19" s="25" t="inlineStr">
        <is>
          <t>Electronics</t>
        </is>
      </c>
      <c r="F19" s="14" t="n">
        <v>3</v>
      </c>
      <c r="G19" s="15" t="n">
        <v>147.03</v>
      </c>
      <c r="H19" s="15" t="n">
        <v>99.51000000000001</v>
      </c>
      <c r="I19" s="16">
        <f>H19/G19</f>
        <v/>
      </c>
    </row>
    <row r="20">
      <c r="B20" s="13" t="n">
        <v>7</v>
      </c>
      <c r="C20" s="13" t="inlineStr">
        <is>
          <t>PROD-0454</t>
        </is>
      </c>
      <c r="D20" s="25" t="inlineStr">
        <is>
          <t>IronCore Activewear Classic 220</t>
        </is>
      </c>
      <c r="E20" s="25" t="inlineStr">
        <is>
          <t>Sports &amp; Fitness</t>
        </is>
      </c>
      <c r="F20" s="14" t="n">
        <v>2</v>
      </c>
      <c r="G20" s="15" t="n">
        <v>172.64</v>
      </c>
      <c r="H20" s="15" t="n">
        <v>104.46</v>
      </c>
      <c r="I20" s="16">
        <f>H20/G20</f>
        <v/>
      </c>
    </row>
    <row r="21">
      <c r="B21" s="13" t="n">
        <v>8</v>
      </c>
      <c r="C21" s="13" t="inlineStr">
        <is>
          <t>PROD-0057</t>
        </is>
      </c>
      <c r="D21" s="25" t="inlineStr">
        <is>
          <t>NovaCore Audio Elite 240</t>
        </is>
      </c>
      <c r="E21" s="25" t="inlineStr">
        <is>
          <t>Electronics</t>
        </is>
      </c>
      <c r="F21" s="14" t="n">
        <v>1</v>
      </c>
      <c r="G21" s="15" t="n">
        <v>222.14</v>
      </c>
      <c r="H21" s="15" t="n">
        <v>106.87</v>
      </c>
      <c r="I21" s="16">
        <f>H21/G21</f>
        <v/>
      </c>
    </row>
    <row r="22">
      <c r="B22" s="13" t="n">
        <v>9</v>
      </c>
      <c r="C22" s="13" t="inlineStr">
        <is>
          <t>PROD-0467</t>
        </is>
      </c>
      <c r="D22" s="25" t="inlineStr">
        <is>
          <t>FlexForm Outdoor Ultra 140</t>
        </is>
      </c>
      <c r="E22" s="25" t="inlineStr">
        <is>
          <t>Sports &amp; Fitness</t>
        </is>
      </c>
      <c r="F22" s="14" t="n">
        <v>1</v>
      </c>
      <c r="G22" s="15" t="n">
        <v>220.04</v>
      </c>
      <c r="H22" s="15" t="n">
        <v>112.72</v>
      </c>
      <c r="I22" s="16">
        <f>H22/G22</f>
        <v/>
      </c>
    </row>
    <row r="23">
      <c r="B23" s="13" t="n">
        <v>10</v>
      </c>
      <c r="C23" s="13" t="inlineStr">
        <is>
          <t>PROD-0296</t>
        </is>
      </c>
      <c r="D23" s="25" t="inlineStr">
        <is>
          <t>CozyNest Storage Prime 110</t>
        </is>
      </c>
      <c r="E23" s="25" t="inlineStr">
        <is>
          <t>Home &amp; Kitchen</t>
        </is>
      </c>
      <c r="F23" s="14" t="n">
        <v>9</v>
      </c>
      <c r="G23" s="15" t="n">
        <v>260.1</v>
      </c>
      <c r="H23" s="15" t="n">
        <v>116.1</v>
      </c>
      <c r="I23" s="16">
        <f>H23/G23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5"/>
  <sheetViews>
    <sheetView showGridLines="1" workbookViewId="0">
      <selection activeCell="A1" sqref="A1"/>
    </sheetView>
  </sheetViews>
  <sheetFormatPr baseColWidth="8" defaultRowHeight="15"/>
  <cols>
    <col width="51" customWidth="1" min="2" max="2"/>
    <col width="20" customWidth="1" min="3" max="3"/>
    <col width="19" customWidth="1" min="4" max="4"/>
    <col width="26" customWidth="1" min="5" max="5"/>
    <col width="22" customWidth="1" min="6" max="6"/>
    <col width="14" customWidth="1" min="7" max="7"/>
    <col width="12" customWidth="1" min="8" max="8"/>
    <col width="23" customWidth="1" min="9" max="9"/>
    <col width="23" customWidth="1" min="10" max="10"/>
  </cols>
  <sheetData>
    <row r="1"/>
    <row r="2">
      <c r="B2" s="1" t="inlineStr">
        <is>
          <t>ShopSphere Regional Performance &amp; Operations SLA Matrix</t>
        </is>
      </c>
    </row>
    <row r="3"/>
    <row r="4">
      <c r="B4" s="6" t="inlineStr">
        <is>
          <t>Region</t>
        </is>
      </c>
      <c r="C4" s="12" t="inlineStr">
        <is>
          <t>Customer Base</t>
        </is>
      </c>
      <c r="D4" s="12" t="inlineStr">
        <is>
          <t>Orders Placed</t>
        </is>
      </c>
      <c r="E4" s="12" t="inlineStr">
        <is>
          <t>Net Revenue ($)</t>
        </is>
      </c>
      <c r="F4" s="12" t="inlineStr">
        <is>
          <t>Revenue Share %</t>
        </is>
      </c>
      <c r="G4" s="12" t="inlineStr">
        <is>
          <t>Gross Profit ($)</t>
        </is>
      </c>
      <c r="H4" s="12" t="inlineStr">
        <is>
          <t>Profit Margin %</t>
        </is>
      </c>
      <c r="I4" s="12" t="inlineStr">
        <is>
          <t>Late Delivery %</t>
        </is>
      </c>
      <c r="J4" s="12" t="inlineStr">
        <is>
          <t>Return Rate %</t>
        </is>
      </c>
    </row>
    <row r="5">
      <c r="B5" s="25" t="inlineStr">
        <is>
          <t>Central</t>
        </is>
      </c>
      <c r="C5" s="14" t="n">
        <v>5498</v>
      </c>
      <c r="D5" s="14" t="n">
        <v>22800</v>
      </c>
      <c r="E5" s="15" t="n">
        <v>5206627.67</v>
      </c>
      <c r="F5" s="16">
        <f>E5/SUM($E$5:$E$9)</f>
        <v/>
      </c>
      <c r="G5" s="15" t="n">
        <v>1719877.58</v>
      </c>
      <c r="H5" s="16">
        <f>G5/E5</f>
        <v/>
      </c>
      <c r="I5" s="16" t="n">
        <v>0.1139035087719298</v>
      </c>
      <c r="J5" s="16" t="n">
        <v>0.1063157894736842</v>
      </c>
    </row>
    <row r="6">
      <c r="B6" s="25" t="inlineStr">
        <is>
          <t>East</t>
        </is>
      </c>
      <c r="C6" s="14" t="n">
        <v>7016</v>
      </c>
      <c r="D6" s="14" t="n">
        <v>25149</v>
      </c>
      <c r="E6" s="15" t="n">
        <v>6018264.53</v>
      </c>
      <c r="F6" s="16">
        <f>E6/SUM($E$5:$E$9)</f>
        <v/>
      </c>
      <c r="G6" s="15" t="n">
        <v>1955663.11</v>
      </c>
      <c r="H6" s="16">
        <f>G6/E6</f>
        <v/>
      </c>
      <c r="I6" s="16" t="n">
        <v>0.1110580937611833</v>
      </c>
      <c r="J6" s="16" t="n">
        <v>0.1017535488488608</v>
      </c>
    </row>
    <row r="7">
      <c r="B7" s="25" t="inlineStr">
        <is>
          <t>North</t>
        </is>
      </c>
      <c r="C7" s="14" t="n">
        <v>2722</v>
      </c>
      <c r="D7" s="14" t="n">
        <v>8775</v>
      </c>
      <c r="E7" s="15" t="n">
        <v>2192988.74</v>
      </c>
      <c r="F7" s="16">
        <f>E7/SUM($E$5:$E$9)</f>
        <v/>
      </c>
      <c r="G7" s="15" t="n">
        <v>703259.61</v>
      </c>
      <c r="H7" s="16">
        <f>G7/E7</f>
        <v/>
      </c>
      <c r="I7" s="16" t="n">
        <v>0.1152136752136752</v>
      </c>
      <c r="J7" s="16" t="n">
        <v>0.1055270655270655</v>
      </c>
    </row>
    <row r="8">
      <c r="B8" s="25" t="inlineStr">
        <is>
          <t>South</t>
        </is>
      </c>
      <c r="C8" s="14" t="n">
        <v>3798</v>
      </c>
      <c r="D8" s="14" t="n">
        <v>14309</v>
      </c>
      <c r="E8" s="15" t="n">
        <v>3480293.86</v>
      </c>
      <c r="F8" s="16">
        <f>E8/SUM($E$5:$E$9)</f>
        <v/>
      </c>
      <c r="G8" s="15" t="n">
        <v>1143662.8</v>
      </c>
      <c r="H8" s="16">
        <f>G8/E8</f>
        <v/>
      </c>
      <c r="I8" s="16" t="n">
        <v>0.115172269201202</v>
      </c>
      <c r="J8" s="16" t="n">
        <v>0.1003564190369697</v>
      </c>
    </row>
    <row r="9">
      <c r="B9" s="25" t="inlineStr">
        <is>
          <t>West</t>
        </is>
      </c>
      <c r="C9" s="14" t="n">
        <v>8166</v>
      </c>
      <c r="D9" s="14" t="n">
        <v>31387</v>
      </c>
      <c r="E9" s="15" t="n">
        <v>7537171.02</v>
      </c>
      <c r="F9" s="16">
        <f>E9/SUM($E$5:$E$9)</f>
        <v/>
      </c>
      <c r="G9" s="15" t="n">
        <v>2450827.74</v>
      </c>
      <c r="H9" s="16">
        <f>G9/E9</f>
        <v/>
      </c>
      <c r="I9" s="16" t="n">
        <v>0.1150476311848855</v>
      </c>
      <c r="J9" s="16" t="n">
        <v>0.1035141937744926</v>
      </c>
    </row>
    <row r="10"/>
    <row r="11"/>
    <row r="12">
      <c r="B12" s="5" t="inlineStr">
        <is>
          <t>Delivery Tardiness Impact on Return Probability</t>
        </is>
      </c>
    </row>
    <row r="13">
      <c r="B13" s="22" t="inlineStr">
        <is>
          <t>Delivery Status Milestone</t>
        </is>
      </c>
      <c r="C13" s="23" t="inlineStr">
        <is>
          <t>Orders Delivered</t>
        </is>
      </c>
      <c r="D13" s="23" t="inlineStr">
        <is>
          <t>Returned Orders</t>
        </is>
      </c>
      <c r="E13" s="23" t="inlineStr">
        <is>
          <t>Realized Return Rate %</t>
        </is>
      </c>
    </row>
    <row r="14">
      <c r="B14" s="32" t="inlineStr">
        <is>
          <t>Delivered Late</t>
        </is>
      </c>
      <c r="C14" s="33" t="n">
        <v>11660</v>
      </c>
      <c r="D14" s="33" t="n">
        <v>2562</v>
      </c>
      <c r="E14" s="34">
        <f>D14/C14</f>
        <v/>
      </c>
    </row>
    <row r="15">
      <c r="B15" s="25" t="inlineStr">
        <is>
          <t>Delivered On-Time</t>
        </is>
      </c>
      <c r="C15" s="14" t="n">
        <v>85872</v>
      </c>
      <c r="D15" s="14" t="n">
        <v>8032</v>
      </c>
      <c r="E15" s="16">
        <f>D15/C15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10"/>
  <sheetViews>
    <sheetView showGridLines="1" workbookViewId="0">
      <selection activeCell="A1" sqref="A1"/>
    </sheetView>
  </sheetViews>
  <sheetFormatPr baseColWidth="8" defaultRowHeight="15"/>
  <cols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/>
    <row r="2">
      <c r="B2" s="1" t="inlineStr">
        <is>
          <t>Multi-Dimensional Pivot Matrix: Category Sales by Region</t>
        </is>
      </c>
    </row>
    <row r="3"/>
    <row r="4">
      <c r="B4" s="35" t="inlineStr">
        <is>
          <t>Category / Region</t>
        </is>
      </c>
      <c r="C4" s="12" t="inlineStr">
        <is>
          <t>Central</t>
        </is>
      </c>
      <c r="D4" s="12" t="inlineStr">
        <is>
          <t>East</t>
        </is>
      </c>
      <c r="E4" s="12" t="inlineStr">
        <is>
          <t>North</t>
        </is>
      </c>
      <c r="F4" s="12" t="inlineStr">
        <is>
          <t>South</t>
        </is>
      </c>
      <c r="G4" s="12" t="inlineStr">
        <is>
          <t>West</t>
        </is>
      </c>
      <c r="H4" s="12" t="inlineStr">
        <is>
          <t>Total Revenue ($)</t>
        </is>
      </c>
    </row>
    <row r="5">
      <c r="B5" s="25" t="inlineStr">
        <is>
          <t>Apparel &amp; Fashion</t>
        </is>
      </c>
      <c r="C5" s="15" t="n">
        <v>477868.44</v>
      </c>
      <c r="D5" s="15" t="n">
        <v>536337.41</v>
      </c>
      <c r="E5" s="15" t="n">
        <v>189134.19</v>
      </c>
      <c r="F5" s="15" t="n">
        <v>306216.56</v>
      </c>
      <c r="G5" s="15" t="n">
        <v>671173.28</v>
      </c>
      <c r="H5" s="36">
        <f>SUM(C5:G5)</f>
        <v/>
      </c>
    </row>
    <row r="6">
      <c r="B6" s="25" t="inlineStr">
        <is>
          <t>Beauty &amp; Personal Care</t>
        </is>
      </c>
      <c r="C6" s="15" t="n">
        <v>367330.65</v>
      </c>
      <c r="D6" s="15" t="n">
        <v>435807.2</v>
      </c>
      <c r="E6" s="15" t="n">
        <v>152729.48</v>
      </c>
      <c r="F6" s="15" t="n">
        <v>239304.16</v>
      </c>
      <c r="G6" s="15" t="n">
        <v>524273.24</v>
      </c>
      <c r="H6" s="36">
        <f>SUM(C6:G6)</f>
        <v/>
      </c>
    </row>
    <row r="7">
      <c r="B7" s="25" t="inlineStr">
        <is>
          <t>Electronics</t>
        </is>
      </c>
      <c r="C7" s="15" t="n">
        <v>2886732.43</v>
      </c>
      <c r="D7" s="15" t="n">
        <v>3441425.97</v>
      </c>
      <c r="E7" s="15" t="n">
        <v>1276999.47</v>
      </c>
      <c r="F7" s="15" t="n">
        <v>2005494.36</v>
      </c>
      <c r="G7" s="15" t="n">
        <v>4277216.27</v>
      </c>
      <c r="H7" s="36">
        <f>SUM(C7:G7)</f>
        <v/>
      </c>
    </row>
    <row r="8">
      <c r="B8" s="25" t="inlineStr">
        <is>
          <t>Home &amp; Kitchen</t>
        </is>
      </c>
      <c r="C8" s="15" t="n">
        <v>657248.63</v>
      </c>
      <c r="D8" s="15" t="n">
        <v>706088.59</v>
      </c>
      <c r="E8" s="15" t="n">
        <v>249699.21</v>
      </c>
      <c r="F8" s="15" t="n">
        <v>418549.07</v>
      </c>
      <c r="G8" s="15" t="n">
        <v>902257.72</v>
      </c>
      <c r="H8" s="36">
        <f>SUM(C8:G8)</f>
        <v/>
      </c>
    </row>
    <row r="9">
      <c r="B9" s="25" t="inlineStr">
        <is>
          <t>Sports &amp; Fitness</t>
        </is>
      </c>
      <c r="C9" s="15" t="n">
        <v>817447.52</v>
      </c>
      <c r="D9" s="15" t="n">
        <v>898605.36</v>
      </c>
      <c r="E9" s="15" t="n">
        <v>324426.39</v>
      </c>
      <c r="F9" s="15" t="n">
        <v>510729.71</v>
      </c>
      <c r="G9" s="15" t="n">
        <v>1162250.51</v>
      </c>
      <c r="H9" s="36">
        <f>SUM(C9:G9)</f>
        <v/>
      </c>
    </row>
    <row r="10">
      <c r="B10" s="17" t="inlineStr">
        <is>
          <t>Total By Region</t>
        </is>
      </c>
      <c r="C10" s="19">
        <f>SUM(C5:C9)</f>
        <v/>
      </c>
      <c r="D10" s="19">
        <f>SUM(D5:D9)</f>
        <v/>
      </c>
      <c r="E10" s="19">
        <f>SUM(E5:E9)</f>
        <v/>
      </c>
      <c r="F10" s="19">
        <f>SUM(F5:F9)</f>
        <v/>
      </c>
      <c r="G10" s="19">
        <f>SUM(G5:G9)</f>
        <v/>
      </c>
      <c r="H10" s="19">
        <f>SUM(H5:H9)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42" customWidth="1" min="3" max="3"/>
    <col width="12" customWidth="1" min="4" max="4"/>
    <col width="44" customWidth="1" min="5" max="5"/>
    <col width="54" customWidth="1" min="6" max="6"/>
    <col width="50" customWidth="1" min="7" max="7"/>
  </cols>
  <sheetData>
    <row r="1"/>
    <row r="2">
      <c r="B2" s="1" t="inlineStr">
        <is>
          <t>ShopSphere Raw Data Hygiene &amp; Remediation Audit Log</t>
        </is>
      </c>
    </row>
    <row r="3"/>
    <row r="4">
      <c r="B4" s="6" t="inlineStr">
        <is>
          <t>Entity / Table</t>
        </is>
      </c>
      <c r="C4" s="6" t="inlineStr">
        <is>
          <t>Identified Anomaly / Defect</t>
        </is>
      </c>
      <c r="D4" s="7" t="inlineStr">
        <is>
          <t>Records Impacted</t>
        </is>
      </c>
      <c r="E4" s="6" t="inlineStr">
        <is>
          <t>Detection Logic</t>
        </is>
      </c>
      <c r="F4" s="6" t="inlineStr">
        <is>
          <t>Remediation Applied</t>
        </is>
      </c>
      <c r="G4" s="6" t="inlineStr">
        <is>
          <t>Analytical Rationale</t>
        </is>
      </c>
    </row>
    <row r="5">
      <c r="B5" s="8" t="inlineStr">
        <is>
          <t>customers</t>
        </is>
      </c>
      <c r="C5" s="8" t="inlineStr">
        <is>
          <t>Duplicate Customer Records</t>
        </is>
      </c>
      <c r="D5" s="37" t="inlineStr">
        <is>
          <t>180</t>
        </is>
      </c>
      <c r="E5" s="8" t="inlineStr">
        <is>
          <t>df.duplicated(subset=['customer_id'])</t>
        </is>
      </c>
      <c r="F5" s="8" t="inlineStr">
        <is>
          <t>Deduplicated keeping earliest registered record</t>
        </is>
      </c>
      <c r="G5" s="8" t="inlineStr">
        <is>
          <t>Customer ID must be a unique primary entity</t>
        </is>
      </c>
    </row>
    <row r="6">
      <c r="B6" s="8" t="inlineStr">
        <is>
          <t>customers</t>
        </is>
      </c>
      <c r="C6" s="8" t="inlineStr">
        <is>
          <t>Non-Standard Date Formats (DD/MM/YYYY)</t>
        </is>
      </c>
      <c r="D6" s="37" t="inlineStr">
        <is>
          <t>150</t>
        </is>
      </c>
      <c r="E6" s="8" t="inlineStr">
        <is>
          <t>Regex search for '/' pattern</t>
        </is>
      </c>
      <c r="F6" s="8" t="inlineStr">
        <is>
          <t>Converted to ISO-8601 (YYYY-MM-DD)</t>
        </is>
      </c>
      <c r="G6" s="8" t="inlineStr">
        <is>
          <t>Ensures relational compatibility and indexing</t>
        </is>
      </c>
    </row>
    <row r="7">
      <c r="B7" s="8" t="inlineStr">
        <is>
          <t>customers</t>
        </is>
      </c>
      <c r="C7" s="8" t="inlineStr">
        <is>
          <t>Invalid / Outlier Ages (&lt;=0 or &gt;100)</t>
        </is>
      </c>
      <c r="D7" s="37" t="inlineStr">
        <is>
          <t>25</t>
        </is>
      </c>
      <c r="E7" s="8" t="inlineStr">
        <is>
          <t>Range check (age &lt;= 0 OR age &gt; 100)</t>
        </is>
      </c>
      <c r="F7" s="8" t="inlineStr">
        <is>
          <t>Imputed with median customer age (35 years)</t>
        </is>
      </c>
      <c r="G7" s="8" t="inlineStr">
        <is>
          <t>Prevents distorted demographic slicing</t>
        </is>
      </c>
    </row>
    <row r="8">
      <c r="B8" s="8" t="inlineStr">
        <is>
          <t>customers</t>
        </is>
      </c>
      <c r="C8" s="8" t="inlineStr">
        <is>
          <t>Missing Gender &amp; City Values</t>
        </is>
      </c>
      <c r="D8" s="37" t="inlineStr">
        <is>
          <t>120</t>
        </is>
      </c>
      <c r="E8" s="8" t="inlineStr">
        <is>
          <t>df[['gender', 'city']].isna()</t>
        </is>
      </c>
      <c r="F8" s="8" t="inlineStr">
        <is>
          <t>Imputed 'Unspecified' &amp; 'Metro Area Unknown'</t>
        </is>
      </c>
      <c r="G8" s="8" t="inlineStr">
        <is>
          <t>Preserves profile completeness</t>
        </is>
      </c>
    </row>
    <row r="9">
      <c r="B9" s="8" t="inlineStr">
        <is>
          <t>customers</t>
        </is>
      </c>
      <c r="C9" s="8" t="inlineStr">
        <is>
          <t>Inconsistent Segment Casing</t>
        </is>
      </c>
      <c r="D9" s="37" t="inlineStr">
        <is>
          <t>250</t>
        </is>
      </c>
      <c r="E9" s="8" t="inlineStr">
        <is>
          <t>Membership validation vs canonical list</t>
        </is>
      </c>
      <c r="F9" s="8" t="inlineStr">
        <is>
          <t>Standardized to canonical Title Case</t>
        </is>
      </c>
      <c r="G9" s="8" t="inlineStr">
        <is>
          <t>Eliminates duplicate categories in Power BI</t>
        </is>
      </c>
    </row>
    <row r="10">
      <c r="B10" s="8" t="inlineStr">
        <is>
          <t>products</t>
        </is>
      </c>
      <c r="C10" s="8" t="inlineStr">
        <is>
          <t>Duplicate Product IDs</t>
        </is>
      </c>
      <c r="D10" s="37" t="inlineStr">
        <is>
          <t>8</t>
        </is>
      </c>
      <c r="E10" s="8" t="inlineStr">
        <is>
          <t>df.duplicated(subset=['product_id'])</t>
        </is>
      </c>
      <c r="F10" s="8" t="inlineStr">
        <is>
          <t>Pruned duplicate rows keeping first</t>
        </is>
      </c>
      <c r="G10" s="8" t="inlineStr">
        <is>
          <t>Product SKU must be unique catalog primary key</t>
        </is>
      </c>
    </row>
    <row r="11">
      <c r="B11" s="8" t="inlineStr">
        <is>
          <t>products</t>
        </is>
      </c>
      <c r="C11" s="8" t="inlineStr">
        <is>
          <t>Inconsistent Category Casing</t>
        </is>
      </c>
      <c r="D11" s="37" t="inlineStr">
        <is>
          <t>12</t>
        </is>
      </c>
      <c r="E11" s="8" t="inlineStr">
        <is>
          <t>Casing mismatch vs canonical categories</t>
        </is>
      </c>
      <c r="F11" s="8" t="inlineStr">
        <is>
          <t>Normalized to Title Case via lookup map</t>
        </is>
      </c>
      <c r="G11" s="8" t="inlineStr">
        <is>
          <t>Prevents bifurcated SQL groupings</t>
        </is>
      </c>
    </row>
    <row r="12">
      <c r="B12" s="8" t="inlineStr">
        <is>
          <t>products</t>
        </is>
      </c>
      <c r="C12" s="8" t="inlineStr">
        <is>
          <t>Missing Vendor Brands</t>
        </is>
      </c>
      <c r="D12" s="37" t="inlineStr">
        <is>
          <t>6</t>
        </is>
      </c>
      <c r="E12" s="8" t="inlineStr">
        <is>
          <t>df['brand'].isna()</t>
        </is>
      </c>
      <c r="F12" s="8" t="inlineStr">
        <is>
          <t>Imputed as 'Generic / Store Brand'</t>
        </is>
      </c>
      <c r="G12" s="8" t="inlineStr">
        <is>
          <t>Maintains complete product taxonomy</t>
        </is>
      </c>
    </row>
    <row r="13">
      <c r="B13" s="8" t="inlineStr">
        <is>
          <t>orders</t>
        </is>
      </c>
      <c r="C13" s="8" t="inlineStr">
        <is>
          <t>Duplicate Order IDs</t>
        </is>
      </c>
      <c r="D13" s="37" t="inlineStr">
        <is>
          <t>220</t>
        </is>
      </c>
      <c r="E13" s="8" t="inlineStr">
        <is>
          <t>df.duplicated(subset=['order_id'])</t>
        </is>
      </c>
      <c r="F13" s="8" t="inlineStr">
        <is>
          <t>Removed duplicate order rows</t>
        </is>
      </c>
      <c r="G13" s="8" t="inlineStr">
        <is>
          <t>Prevents gross revenue overstatement</t>
        </is>
      </c>
    </row>
    <row r="14">
      <c r="B14" s="8" t="inlineStr">
        <is>
          <t>orders</t>
        </is>
      </c>
      <c r="C14" s="8" t="inlineStr">
        <is>
          <t>Orphaned Transactions (Missing FKs)</t>
        </is>
      </c>
      <c r="D14" s="37" t="inlineStr">
        <is>
          <t>80</t>
        </is>
      </c>
      <c r="E14" s="8" t="inlineStr">
        <is>
          <t>df[['customer_id', 'product_id']].isna()</t>
        </is>
      </c>
      <c r="F14" s="8" t="inlineStr">
        <is>
          <t>Pruned unlinked transaction records</t>
        </is>
      </c>
      <c r="G14" s="8" t="inlineStr">
        <is>
          <t>Maintains 100% referential integrity</t>
        </is>
      </c>
    </row>
    <row r="15">
      <c r="B15" s="8" t="inlineStr">
        <is>
          <t>orders</t>
        </is>
      </c>
      <c r="C15" s="8" t="inlineStr">
        <is>
          <t>Extreme / Negative Order Quantities</t>
        </is>
      </c>
      <c r="D15" s="37" t="inlineStr">
        <is>
          <t>20</t>
        </is>
      </c>
      <c r="E15" s="8" t="inlineStr">
        <is>
          <t>quantity &lt;= 0 OR quantity &gt; 50</t>
        </is>
      </c>
      <c r="F15" s="8" t="inlineStr">
        <is>
          <t>Corrected sign; capped outliers to 5 units</t>
        </is>
      </c>
      <c r="G15" s="8" t="inlineStr">
        <is>
          <t>Removes system testing noise</t>
        </is>
      </c>
    </row>
    <row r="16">
      <c r="B16" s="8" t="inlineStr">
        <is>
          <t>delivery</t>
        </is>
      </c>
      <c r="C16" s="8" t="inlineStr">
        <is>
          <t>Duplicate Tracking Records</t>
        </is>
      </c>
      <c r="D16" s="37" t="inlineStr">
        <is>
          <t>210</t>
        </is>
      </c>
      <c r="E16" s="8" t="inlineStr">
        <is>
          <t>df.duplicated(subset=['order_id'])</t>
        </is>
      </c>
      <c r="F16" s="8" t="inlineStr">
        <is>
          <t>Deduplicated keeping earliest tracking</t>
        </is>
      </c>
      <c r="G16" s="8" t="inlineStr">
        <is>
          <t>Ensures strict 1-to-1 fulfillment relationship</t>
        </is>
      </c>
    </row>
    <row r="17">
      <c r="B17" s="8" t="inlineStr">
        <is>
          <t>delivery</t>
        </is>
      </c>
      <c r="C17" s="8" t="inlineStr">
        <is>
          <t>Missing Milestone Delivery Status</t>
        </is>
      </c>
      <c r="D17" s="37" t="inlineStr">
        <is>
          <t>40</t>
        </is>
      </c>
      <c r="E17" s="8" t="inlineStr">
        <is>
          <t>df['delivery_status'].isna()</t>
        </is>
      </c>
      <c r="F17" s="8" t="inlineStr">
        <is>
          <t>Dynamically inferred from actual vs promised dates</t>
        </is>
      </c>
      <c r="G17" s="8" t="inlineStr">
        <is>
          <t>Provides 100% logistics SLA visibility</t>
        </is>
      </c>
    </row>
    <row r="18">
      <c r="B18" s="8" t="inlineStr">
        <is>
          <t>returns</t>
        </is>
      </c>
      <c r="C18" s="8" t="inlineStr">
        <is>
          <t>Duplicate Return IDs</t>
        </is>
      </c>
      <c r="D18" s="37" t="inlineStr">
        <is>
          <t>50</t>
        </is>
      </c>
      <c r="E18" s="8" t="inlineStr">
        <is>
          <t>df.duplicated(subset=['return_id'])</t>
        </is>
      </c>
      <c r="F18" s="8" t="inlineStr">
        <is>
          <t>Deduplicated keeping first return record</t>
        </is>
      </c>
      <c r="G18" s="8" t="inlineStr">
        <is>
          <t>Prevents double-counting return credits</t>
        </is>
      </c>
    </row>
    <row r="19">
      <c r="B19" s="8" t="inlineStr">
        <is>
          <t>returns</t>
        </is>
      </c>
      <c r="C19" s="8" t="inlineStr">
        <is>
          <t>Missing Return Reason Codes</t>
        </is>
      </c>
      <c r="D19" s="37" t="inlineStr">
        <is>
          <t>60</t>
        </is>
      </c>
      <c r="E19" s="8" t="inlineStr">
        <is>
          <t>df['return_reason'].isna()</t>
        </is>
      </c>
      <c r="F19" s="8" t="inlineStr">
        <is>
          <t>Imputed as 'Reason Not Specified'</t>
        </is>
      </c>
      <c r="G19" s="8" t="inlineStr">
        <is>
          <t>Flags incomplete customer return 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2026-09-26T07:36:52Z</dcterms:created>
  <dcterms:modified xmlns:dcterms="http://purl.org/dc/terms/" xmlns:xsi="http://www.w3.org/2001/XMLSchema-instance" xsi:type="dcterms:W3CDTF">2026-09-26T07:36:52Z</dcterms:modified>
</cp:coreProperties>
</file>